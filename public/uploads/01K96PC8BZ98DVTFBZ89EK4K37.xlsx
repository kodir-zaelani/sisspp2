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 activeTab="3"/>
  </bookViews>
  <sheets>
    <sheet name="Petunjuk" sheetId="3" r:id="rId1"/>
    <sheet name="Data per 31 Desember 2017" sheetId="1" r:id="rId2"/>
    <sheet name="Data Usulan 2018" sheetId="2" r:id="rId3"/>
    <sheet name="Data PTK PNS  Non P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<sst xmlns="http://schemas.openxmlformats.org/spreadsheetml/2006/main" count="10079" uniqueCount="3687">
  <si>
    <t>Petunjuk pengisian</t>
  </si>
  <si>
    <t>Dilarang merubah kolom pada sheet Data per 31 Desember 2017, Data Usulan 2018 dan Data PTK PNS Non PNS</t>
  </si>
  <si>
    <t>Dahulukan koreksi data pada sheet Data per 31 Desember 2017</t>
  </si>
  <si>
    <t>Jika ada PTK yang tidak melakukan proses melamar pekerjaan di bulan Januari 2018 maka datanya segera di hapus pada sheet Data per 31 Desember 2017</t>
  </si>
  <si>
    <t>Cetak sheet Data per 31 Desember 2017 lalu bubuhi tanda tangan setiap PTK untuk memastikan datanya sudah dikoreksi</t>
  </si>
  <si>
    <t>Cetak sheet Data usulan 2018 lalu bubuhi tanda tangan setiap PTK untuk memastikan datanya sudah dikoreksi</t>
  </si>
  <si>
    <r>
      <rPr>
        <sz val="11"/>
        <color theme="1"/>
        <rFont val="Calibri"/>
        <charset val="1"/>
        <scheme val="minor"/>
      </rPr>
      <t xml:space="preserve">Setelah dikoreksi data pada sheet Data per 31 Desember 2017 dan Data usulan 2018 bersama file DKG kirimkan ke alamat email </t>
    </r>
    <r>
      <rPr>
        <b/>
        <sz val="11"/>
        <color theme="1"/>
        <rFont val="Calibri"/>
        <charset val="134"/>
        <scheme val="minor"/>
      </rPr>
      <t>umum.disdikkaltim@gmail.com cc ke kodir.petani@gmail.com</t>
    </r>
    <r>
      <rPr>
        <sz val="11"/>
        <color theme="1"/>
        <rFont val="Calibri"/>
        <charset val="1"/>
        <scheme val="minor"/>
      </rPr>
      <t xml:space="preserve"> dengan subyek </t>
    </r>
    <r>
      <rPr>
        <b/>
        <sz val="11"/>
        <color theme="1"/>
        <rFont val="Calibri"/>
        <charset val="134"/>
        <scheme val="minor"/>
      </rPr>
      <t>PTK Non PNS 2018 nama sekolah</t>
    </r>
  </si>
  <si>
    <t>Lengkapi juga sheet Data PTK PNS Non PNS</t>
  </si>
  <si>
    <t>Kelengkapan lainnya dapat dikirimkan menyusul secara kolektif atau masing-masing sekolah</t>
  </si>
  <si>
    <t>REKAP DATA NON PNS</t>
  </si>
  <si>
    <t xml:space="preserve">NAMA SEKOLAH </t>
  </si>
  <si>
    <t>Kota Samarinda</t>
  </si>
  <si>
    <t>No</t>
  </si>
  <si>
    <t>No SPK</t>
  </si>
  <si>
    <t>Kab./ Kota</t>
  </si>
  <si>
    <t>Jenjang</t>
  </si>
  <si>
    <t>Nama Sekolah</t>
  </si>
  <si>
    <t>Gelar Depan</t>
  </si>
  <si>
    <t>Nama</t>
  </si>
  <si>
    <t>Gelar Belakang</t>
  </si>
  <si>
    <t>Nama Lengkap</t>
  </si>
  <si>
    <t>Jenis Kelamin</t>
  </si>
  <si>
    <t>JK</t>
  </si>
  <si>
    <t>Tempat Lahir</t>
  </si>
  <si>
    <t>TanggalLahir</t>
  </si>
  <si>
    <t>Usia</t>
  </si>
  <si>
    <t>Tanggal Lahir</t>
  </si>
  <si>
    <t>Status Usia</t>
  </si>
  <si>
    <t>NIK</t>
  </si>
  <si>
    <t>NIP</t>
  </si>
  <si>
    <t>NUPTK</t>
  </si>
  <si>
    <t>Jenis PTK</t>
  </si>
  <si>
    <t>Status Kepegawaian</t>
  </si>
  <si>
    <t>Agama</t>
  </si>
  <si>
    <t>Alamat</t>
  </si>
  <si>
    <t>RT</t>
  </si>
  <si>
    <t>RW</t>
  </si>
  <si>
    <t>Dusun</t>
  </si>
  <si>
    <t>Desa/Kelurahan</t>
  </si>
  <si>
    <t>Kode Pos</t>
  </si>
  <si>
    <t>Kecamatan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</si>
  <si>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</si>
  <si>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</si>
  <si>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</si>
  <si>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</si>
  <si>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</si>
  <si>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</si>
  <si>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</si>
  <si>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Masa Kerja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</si>
  <si>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</si>
  <si>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</si>
  <si>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</si>
  <si>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</si>
  <si>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</si>
  <si>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</si>
  <si>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</si>
  <si>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</si>
  <si>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</si>
  <si>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</si>
  <si>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</si>
  <si>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</si>
  <si>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</si>
  <si>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</si>
  <si>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</si>
  <si>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Tugas Tambahan</t>
  </si>
  <si>
    <t>Mengajar</t>
  </si>
  <si>
    <t>Jam Tugas 
Tambahan</t>
  </si>
  <si>
    <t>JJM</t>
  </si>
  <si>
    <t>Total JJM</t>
  </si>
  <si>
    <t>Kompetensi</t>
  </si>
  <si>
    <t>Nama Bank</t>
  </si>
  <si>
    <t>Cabang</t>
  </si>
  <si>
    <t>Pemilik Rekening</t>
  </si>
  <si>
    <t>Nomor Rekening</t>
  </si>
  <si>
    <t>800/4950/Disdikbud-Ia/2017</t>
  </si>
  <si>
    <t>Berau</t>
  </si>
  <si>
    <t>SMA</t>
  </si>
  <si>
    <t>SMAN 1 Berau</t>
  </si>
  <si>
    <t>Aprilia Tri Prihatini</t>
  </si>
  <si>
    <t>S.Pd.B</t>
  </si>
  <si>
    <t>P</t>
  </si>
  <si>
    <t>Panggung Asri</t>
  </si>
  <si>
    <t>1809036504870004</t>
  </si>
  <si>
    <t>Guru Mapel</t>
  </si>
  <si>
    <t>Honor Daerah TK.I Provinsi</t>
  </si>
  <si>
    <t>Budha</t>
  </si>
  <si>
    <t>Jl. Yos Sudarso</t>
  </si>
  <si>
    <t>Bugis</t>
  </si>
  <si>
    <t>Tanjung Redeb</t>
  </si>
  <si>
    <t>081381115829</t>
  </si>
  <si>
    <t>smansaberau_smart@yahoo.com</t>
  </si>
  <si>
    <t>800/037/SMAN.1/VII/2015</t>
  </si>
  <si>
    <t>Kepala Sekolah</t>
  </si>
  <si>
    <t>APBD Provinsi</t>
  </si>
  <si>
    <t>Darni</t>
  </si>
  <si>
    <t>Kawin</t>
  </si>
  <si>
    <t>Lilik Sudarmawan, S.Ag</t>
  </si>
  <si>
    <t>19860125 201101 1 004</t>
  </si>
  <si>
    <t>PNS</t>
  </si>
  <si>
    <t>55.142.780.0-325.000</t>
  </si>
  <si>
    <t>Induk</t>
  </si>
  <si>
    <t>S1</t>
  </si>
  <si>
    <t>Agama Budha</t>
  </si>
  <si>
    <t>Pendidikan Agama Buddha dan Budi Pekerti</t>
  </si>
  <si>
    <t>Pendidikan Agama Budha</t>
  </si>
  <si>
    <t>BPD Kaltim</t>
  </si>
  <si>
    <t>APRILIA TRI PRIHATINI</t>
  </si>
  <si>
    <t>0062411147</t>
  </si>
  <si>
    <t>800/4951/Disdikbud-Ia/2017</t>
  </si>
  <si>
    <t>Asmiati</t>
  </si>
  <si>
    <t>6403056409740000</t>
  </si>
  <si>
    <t>Tenaga Perpustakaan</t>
  </si>
  <si>
    <t>Islam</t>
  </si>
  <si>
    <t>Jl. Jend. Sudirman Gg. Menara Indah</t>
  </si>
  <si>
    <t>082158705143</t>
  </si>
  <si>
    <t>800/240/CDP.TR/SMA.1/Kepeg 2007</t>
  </si>
  <si>
    <t>Suratmi</t>
  </si>
  <si>
    <t>Nanang Rakhman, SE</t>
  </si>
  <si>
    <t>19680412 199303 1 010</t>
  </si>
  <si>
    <t>15.957.807.9-727.000</t>
  </si>
  <si>
    <t>SMA/Sederajat</t>
  </si>
  <si>
    <t>Manajemen</t>
  </si>
  <si>
    <t>ASMIATI</t>
  </si>
  <si>
    <t>0062403683</t>
  </si>
  <si>
    <t>800/4952/Disdikbud-Ia/2017</t>
  </si>
  <si>
    <t>Debby Heryawan</t>
  </si>
  <si>
    <t>S.ST</t>
  </si>
  <si>
    <t>L</t>
  </si>
  <si>
    <t>6403050912880000</t>
  </si>
  <si>
    <t>Tenaga Administrasi Sekolah</t>
  </si>
  <si>
    <t>Kampung Baru</t>
  </si>
  <si>
    <t>Teluk Bayur</t>
  </si>
  <si>
    <t>085249603663</t>
  </si>
  <si>
    <t>heryawand88@gmail.com</t>
  </si>
  <si>
    <t>800/752/Disdik-Kab/2012</t>
  </si>
  <si>
    <t>02/01/2012</t>
  </si>
  <si>
    <t>Kepala Dinas</t>
  </si>
  <si>
    <t>Rusmiati</t>
  </si>
  <si>
    <t>Evi Riana Sari,S.ST</t>
  </si>
  <si>
    <t>Honor</t>
  </si>
  <si>
    <t>73.839.537.5-727.000</t>
  </si>
  <si>
    <t>Teknologi Informasi dan Komunikasi (TIK)</t>
  </si>
  <si>
    <t>DEBBY HERYAWAN.AR</t>
  </si>
  <si>
    <t>0062403845</t>
  </si>
  <si>
    <t>800/4953/Disdikbud-Ia/2017</t>
  </si>
  <si>
    <t>Devi Ayunani</t>
  </si>
  <si>
    <t>6403056412900001</t>
  </si>
  <si>
    <t>Jl. Cut Nyak Dien</t>
  </si>
  <si>
    <t>Rinding</t>
  </si>
  <si>
    <t>085315634955</t>
  </si>
  <si>
    <t>nad.shafwah@yahoo.com</t>
  </si>
  <si>
    <t>800/173/SMAN.1/I/2013</t>
  </si>
  <si>
    <t>02/01/2013</t>
  </si>
  <si>
    <t>Nurul Aidah</t>
  </si>
  <si>
    <t>Muhammad Fuji Muri</t>
  </si>
  <si>
    <t>Karyawan Swasta</t>
  </si>
  <si>
    <t>-</t>
  </si>
  <si>
    <t>DEVI AYUNANI</t>
  </si>
  <si>
    <t>0062442140</t>
  </si>
  <si>
    <t>800/4954/Disdikbud-Ia/2017</t>
  </si>
  <si>
    <t>Dwi Mairisna</t>
  </si>
  <si>
    <t>SE</t>
  </si>
  <si>
    <t>Bunyu</t>
  </si>
  <si>
    <t>6403055205830002</t>
  </si>
  <si>
    <t>Jl. Jend. Soedirman Gang. 004</t>
  </si>
  <si>
    <t>085247811130</t>
  </si>
  <si>
    <t>dwimairisna@yahoo.co.id</t>
  </si>
  <si>
    <t>800/602/I.SMU.1/VII/2002</t>
  </si>
  <si>
    <t>Lus Ardianah</t>
  </si>
  <si>
    <t>Janda</t>
  </si>
  <si>
    <t>Zulkifli</t>
  </si>
  <si>
    <t>Sudah Meninggal</t>
  </si>
  <si>
    <t>72.017.552.0-727.000</t>
  </si>
  <si>
    <t>DWI MAIRISNA</t>
  </si>
  <si>
    <t>0062403691</t>
  </si>
  <si>
    <t>800/4955/Disdikbud-Ia/2017</t>
  </si>
  <si>
    <t>Ermi Wahyuni</t>
  </si>
  <si>
    <t>S.Pd</t>
  </si>
  <si>
    <t>6403056001910000</t>
  </si>
  <si>
    <t>Jl. Batu Payung, Maratua</t>
  </si>
  <si>
    <t>Payung-payung</t>
  </si>
  <si>
    <t>Maratua</t>
  </si>
  <si>
    <t>085247394913</t>
  </si>
  <si>
    <t>mier_mi@rocketmail.com</t>
  </si>
  <si>
    <t>800/087/SMAN.1/X/2014</t>
  </si>
  <si>
    <t>01/10/2014</t>
  </si>
  <si>
    <t>Herawati</t>
  </si>
  <si>
    <t>Rico</t>
  </si>
  <si>
    <t>Wiraswasta</t>
  </si>
  <si>
    <t>83.713.479.0-727.000</t>
  </si>
  <si>
    <t>Bahasa Jerman</t>
  </si>
  <si>
    <t>Sejarah Indonesia, Bahasa Jerman, Sejarah, Lintas Minat Bahasa Jerman</t>
  </si>
  <si>
    <t>ERMI WAHYUNI</t>
  </si>
  <si>
    <t>0062404370</t>
  </si>
  <si>
    <t>800/4956/Disdikbud-Ia/2017</t>
  </si>
  <si>
    <t>Ika Mayasari</t>
  </si>
  <si>
    <t>Pare-pare</t>
  </si>
  <si>
    <t>6403055204880001</t>
  </si>
  <si>
    <t>Jl. SA. Maulana</t>
  </si>
  <si>
    <t>085222868634</t>
  </si>
  <si>
    <t>maikompacc@gmail.com</t>
  </si>
  <si>
    <t>800/179/SMA.1/I/2015</t>
  </si>
  <si>
    <t>Halimah</t>
  </si>
  <si>
    <t>Arief Budiman, S.P</t>
  </si>
  <si>
    <t>Komputer Akuntansi</t>
  </si>
  <si>
    <t>IKA MAYASARI</t>
  </si>
  <si>
    <t>0062404400</t>
  </si>
  <si>
    <t>800/4957/Disdikbud-Ia/2017</t>
  </si>
  <si>
    <t>Isdaniah</t>
  </si>
  <si>
    <t>Gunung Tabur</t>
  </si>
  <si>
    <t>6403056410760000</t>
  </si>
  <si>
    <t>Jl. Ki Hajar Dewantara Gg. Darussalam 1</t>
  </si>
  <si>
    <t>Karang Ambon</t>
  </si>
  <si>
    <t>085250291551</t>
  </si>
  <si>
    <t>800/122/Disdik-Kab/TGT</t>
  </si>
  <si>
    <t>01/01/2008</t>
  </si>
  <si>
    <t>Mardiah (Almh)</t>
  </si>
  <si>
    <t>Fitriansyah</t>
  </si>
  <si>
    <t>19731029 200701 1 008</t>
  </si>
  <si>
    <t>72.011.270.5-727.000</t>
  </si>
  <si>
    <t>ISDANIAH</t>
  </si>
  <si>
    <t>0062403705</t>
  </si>
  <si>
    <t>800/4958/Disdikbud-Ia/2017</t>
  </si>
  <si>
    <t>Jamir Hamdiah</t>
  </si>
  <si>
    <t>Bujangga</t>
  </si>
  <si>
    <t>6403061501830004</t>
  </si>
  <si>
    <t>Jl. Laksamana Gunung Tabur</t>
  </si>
  <si>
    <t>085231789741</t>
  </si>
  <si>
    <t>jamirhamdiah@gmail.com</t>
  </si>
  <si>
    <t>800/326/CDP.TR/SMA.1/Kepeg/2005</t>
  </si>
  <si>
    <t>Salmah</t>
  </si>
  <si>
    <t>Desi Lisnawati</t>
  </si>
  <si>
    <t>Tidak bekerja</t>
  </si>
  <si>
    <t>72.004.315.7-729.000</t>
  </si>
  <si>
    <t>IPS</t>
  </si>
  <si>
    <t>Pembina Ekstrakurikuler</t>
  </si>
  <si>
    <t>JAMIR HAMDIAH</t>
  </si>
  <si>
    <t>0062664371</t>
  </si>
  <si>
    <t>800/4959/Disdikbud-Ia/2017</t>
  </si>
  <si>
    <t>M. Alik Wahyudi</t>
  </si>
  <si>
    <t>Blitar</t>
  </si>
  <si>
    <t>6403052312890000</t>
  </si>
  <si>
    <t>Jl. Mangga I</t>
  </si>
  <si>
    <t>081230262003</t>
  </si>
  <si>
    <t>alikpendawa@gmail.com</t>
  </si>
  <si>
    <t>800/011/SMA.1/Pend/2007</t>
  </si>
  <si>
    <t>Istingah</t>
  </si>
  <si>
    <t>Yuli Rihwana, SE</t>
  </si>
  <si>
    <t>72.004.425.4-727.000</t>
  </si>
  <si>
    <t>MUHAMMAD ALIK WAHYUDI</t>
  </si>
  <si>
    <t>0062325712</t>
  </si>
  <si>
    <t>800/4960/Disdikbud-Ia/2017</t>
  </si>
  <si>
    <t>Muhammad Rusdi</t>
  </si>
  <si>
    <t>S.T, S.Pd</t>
  </si>
  <si>
    <t>Bone</t>
  </si>
  <si>
    <t>6403051608720008</t>
  </si>
  <si>
    <t>Jl. Pulau Sambit</t>
  </si>
  <si>
    <t>08125403507</t>
  </si>
  <si>
    <t>mhardicha@gmail.com</t>
  </si>
  <si>
    <t>800/260/SMAN.1/I/2011</t>
  </si>
  <si>
    <t>02/01/2011</t>
  </si>
  <si>
    <t>Siti Nadirah</t>
  </si>
  <si>
    <t>Farida K</t>
  </si>
  <si>
    <t>19750216 200604 2 009</t>
  </si>
  <si>
    <t>83.681.103.4-727.000</t>
  </si>
  <si>
    <t>Keguruan dan Ilmu Pendidikan</t>
  </si>
  <si>
    <t>Pendidikan Pancasila dan Kewarganegaraan, Prakarya dan Kewirausahaan, Seni Budaya</t>
  </si>
  <si>
    <t>Kewirausahaan</t>
  </si>
  <si>
    <t>MUHAMMAD RUSDI</t>
  </si>
  <si>
    <t>0062404361</t>
  </si>
  <si>
    <t>800/4961/Disdikbud-Ia/2017</t>
  </si>
  <si>
    <t>Mulyadi Alyas</t>
  </si>
  <si>
    <t>Palandro</t>
  </si>
  <si>
    <t>6403051603730000</t>
  </si>
  <si>
    <t>Penjaga Sekolah</t>
  </si>
  <si>
    <t>Jl. H. Isa II Gg. Wira</t>
  </si>
  <si>
    <t>Gayam</t>
  </si>
  <si>
    <t>085250707275</t>
  </si>
  <si>
    <t>814.1.03/05/Disdik-Kab/Dikmen</t>
  </si>
  <si>
    <t>Badiah (Almh)</t>
  </si>
  <si>
    <t>Sakwati</t>
  </si>
  <si>
    <t>72.017.893.8-727.000</t>
  </si>
  <si>
    <t>MULYADI</t>
  </si>
  <si>
    <t>0062403837</t>
  </si>
  <si>
    <t>Kab. BERAU</t>
  </si>
  <si>
    <t>SMA NEGERI 2 BERAU</t>
  </si>
  <si>
    <t>Benyamin Sira</t>
  </si>
  <si>
    <t>A.Md</t>
  </si>
  <si>
    <t>6403052807840004</t>
  </si>
  <si>
    <t>9060762663110043</t>
  </si>
  <si>
    <t>Honor Daerah TK. I Provinsi</t>
  </si>
  <si>
    <t>Jl. H. Isa III</t>
  </si>
  <si>
    <t>Kec. Tanjung Redeb</t>
  </si>
  <si>
    <t>081253392244</t>
  </si>
  <si>
    <t>yupa_02@yahoo.com</t>
  </si>
  <si>
    <t>913/177/IX-SMAN1/VII/2008</t>
  </si>
  <si>
    <t>Napsahria</t>
  </si>
  <si>
    <t>Belum Kawin</t>
  </si>
  <si>
    <t>Tidak</t>
  </si>
  <si>
    <t>D3</t>
  </si>
  <si>
    <t>Administrasi Niaga</t>
  </si>
  <si>
    <t>BPD KALTIM</t>
  </si>
  <si>
    <t>0062410078</t>
  </si>
  <si>
    <t>Betty Tresna Dewi</t>
  </si>
  <si>
    <t>6403056909920002</t>
  </si>
  <si>
    <t>Jln. Anggur</t>
  </si>
  <si>
    <t>085250919099</t>
  </si>
  <si>
    <t>gurubindo9@gmail.com</t>
  </si>
  <si>
    <t>422/141/I-SMKN2/VII/2014</t>
  </si>
  <si>
    <t>Pemerintah Kab/Kota</t>
  </si>
  <si>
    <t>Sarmiatina</t>
  </si>
  <si>
    <t>Akhati Tohpati Kamanjaya, S.IP</t>
  </si>
  <si>
    <t>72.664.704.3-727.000</t>
  </si>
  <si>
    <t>Bahasa Indonesia</t>
  </si>
  <si>
    <t>0062403586</t>
  </si>
  <si>
    <t>Diah Nuraini</t>
  </si>
  <si>
    <t>Bantul</t>
  </si>
  <si>
    <t>6403096310810001</t>
  </si>
  <si>
    <t>5355759661300003</t>
  </si>
  <si>
    <t>Jl. CUT NYAK DIEN Gg. NASIONAL</t>
  </si>
  <si>
    <t>rinding</t>
  </si>
  <si>
    <t>Kec. Teluk Bayur</t>
  </si>
  <si>
    <t>085652005886</t>
  </si>
  <si>
    <t>diahvega81@gmail.com</t>
  </si>
  <si>
    <t>913/01/IX-SMA 1 /I/2006</t>
  </si>
  <si>
    <t>Daimah</t>
  </si>
  <si>
    <t>BAMBANG SUJATMIKO</t>
  </si>
  <si>
    <t>197607042005021001</t>
  </si>
  <si>
    <t>PNS/TNI/Polri</t>
  </si>
  <si>
    <t>45.098.378.8-727.000</t>
  </si>
  <si>
    <t>Bahasa Inggris</t>
  </si>
  <si>
    <t>Koordinator Laboratorium</t>
  </si>
  <si>
    <t>Bahasa Inggris, Lintas Minat Bahasa Inggris, Lintas Minat Bahasa inggris</t>
  </si>
  <si>
    <t>0062409142</t>
  </si>
  <si>
    <t>Jensel Parewang</t>
  </si>
  <si>
    <t>Tana Toraja</t>
  </si>
  <si>
    <t>6403051401910001</t>
  </si>
  <si>
    <t>Kristen</t>
  </si>
  <si>
    <t>Jln. Sawi</t>
  </si>
  <si>
    <t>085247965521</t>
  </si>
  <si>
    <t>jenselberau@gmail.com</t>
  </si>
  <si>
    <t>800/160/SMAN 2 BR/VII/2015</t>
  </si>
  <si>
    <t>Pemerintah Propinsi</t>
  </si>
  <si>
    <t>Hermin</t>
  </si>
  <si>
    <t>70.679.475.7-727.000</t>
  </si>
  <si>
    <t>Pendidikan Jasmani dan Kesehatan</t>
  </si>
  <si>
    <t>Guru Piket</t>
  </si>
  <si>
    <t>Pendidikan Jasmani, Olahraga, dan Kesehatan</t>
  </si>
  <si>
    <t>Jumiati</t>
  </si>
  <si>
    <t>6403056105910001</t>
  </si>
  <si>
    <t>Jln. Yos Sudarso no 241</t>
  </si>
  <si>
    <t>085347021999</t>
  </si>
  <si>
    <t>jumiadan@gmail.com</t>
  </si>
  <si>
    <t>422/115.4/IX-SMAN2/VII/2013</t>
  </si>
  <si>
    <t>Harniah</t>
  </si>
  <si>
    <t>Teddy Purnawan</t>
  </si>
  <si>
    <t>Ya</t>
  </si>
  <si>
    <t>83.713.822.1-727.000</t>
  </si>
  <si>
    <t>Biologi</t>
  </si>
  <si>
    <t>Guru Piket, Wali Kelas,Laboran</t>
  </si>
  <si>
    <t>Biologi dan Lintas Minat Biologi</t>
  </si>
  <si>
    <t>0062442115</t>
  </si>
  <si>
    <t>Melisa</t>
  </si>
  <si>
    <t>6403096112890001</t>
  </si>
  <si>
    <t>Jl. Kampung Cina</t>
  </si>
  <si>
    <t>082252527003</t>
  </si>
  <si>
    <t>mellaja02@gmail.com</t>
  </si>
  <si>
    <t>800/138/SMKN3/I/2012</t>
  </si>
  <si>
    <t>Mugiasih</t>
  </si>
  <si>
    <t>66.660.850.0-727.000</t>
  </si>
  <si>
    <t>D4</t>
  </si>
  <si>
    <t>Manajemen Agribisnis</t>
  </si>
  <si>
    <t>Guru Piket, Wali Kelas, Koordinator Laboratorium Fisika</t>
  </si>
  <si>
    <t>Fisika, Lintas Minat Fisika</t>
  </si>
  <si>
    <t>Fisika</t>
  </si>
  <si>
    <t>Nor Imansyah</t>
  </si>
  <si>
    <t>S.T</t>
  </si>
  <si>
    <t>6403052305800003</t>
  </si>
  <si>
    <t>9855758659200002</t>
  </si>
  <si>
    <t>Guru TIK</t>
  </si>
  <si>
    <t>Jln Bujangga</t>
  </si>
  <si>
    <t>Sei Bedungun</t>
  </si>
  <si>
    <t>085287420789</t>
  </si>
  <si>
    <t>nor.imansyah80@gmail.com</t>
  </si>
  <si>
    <t>913/267/IX-SMA 1/VII/2006</t>
  </si>
  <si>
    <t>Hj. Aji Rukiah</t>
  </si>
  <si>
    <t>Nurjayanti</t>
  </si>
  <si>
    <t>Lainnya</t>
  </si>
  <si>
    <t>45.097.969.5-727.000</t>
  </si>
  <si>
    <t>Teknik Pertambangan</t>
  </si>
  <si>
    <t>Operator Dapodik</t>
  </si>
  <si>
    <t>Teknologi Informasi dan Komunikasi, Geografi, Lintas Minat Geografi</t>
  </si>
  <si>
    <t>1552232301</t>
  </si>
  <si>
    <t>Nurhalimah</t>
  </si>
  <si>
    <t>S.Hum</t>
  </si>
  <si>
    <t>Muara Bangun</t>
  </si>
  <si>
    <t>6403036311910001</t>
  </si>
  <si>
    <t>Jln. Pemuda</t>
  </si>
  <si>
    <t>Babanir Bangun</t>
  </si>
  <si>
    <t>Kec. Sambaliung</t>
  </si>
  <si>
    <t>082250746612</t>
  </si>
  <si>
    <t>nurhalimahSulaiman@gmail.com</t>
  </si>
  <si>
    <t>800/1050/Disdik-Kab/Dikdas/2015</t>
  </si>
  <si>
    <t>Rakba</t>
  </si>
  <si>
    <t>74.424.036.7-727.000</t>
  </si>
  <si>
    <t>Bahasa Jepang</t>
  </si>
  <si>
    <t>Wali Kelas</t>
  </si>
  <si>
    <t>Pendidikan Pancasila dan Kewarganegaraan, Bahasa Jepang</t>
  </si>
  <si>
    <t>0062403594</t>
  </si>
  <si>
    <t>Risna Herjayanti</t>
  </si>
  <si>
    <t>6403054407920003</t>
  </si>
  <si>
    <t>Jln. Ramania 2 No 5</t>
  </si>
  <si>
    <t>082255850667</t>
  </si>
  <si>
    <t>ayaosse@gmail.com</t>
  </si>
  <si>
    <t>Paulina Sari</t>
  </si>
  <si>
    <t>74.424.073.0-727.000</t>
  </si>
  <si>
    <t>Seni Budaya</t>
  </si>
  <si>
    <t>0062403578</t>
  </si>
  <si>
    <t>Sita Ratte</t>
  </si>
  <si>
    <t>S.Pd.K</t>
  </si>
  <si>
    <t>Toraja</t>
  </si>
  <si>
    <t>6403054406850003</t>
  </si>
  <si>
    <t>Jln. Pembangunan I</t>
  </si>
  <si>
    <t>Gunung Panjang</t>
  </si>
  <si>
    <t>081331514022</t>
  </si>
  <si>
    <t>sitajhemy62@gmail.com</t>
  </si>
  <si>
    <t>913/256/IX-SMAN1/VII/2010</t>
  </si>
  <si>
    <t>Damaris</t>
  </si>
  <si>
    <t>Matius Jeni Panandean</t>
  </si>
  <si>
    <t>66.628.261.1-727.000</t>
  </si>
  <si>
    <t>Pendidikan Agama Kristen</t>
  </si>
  <si>
    <t>Pendidikan Pancasila dan Kewarganegaraan</t>
  </si>
  <si>
    <t>0062408979</t>
  </si>
  <si>
    <t>Suparta</t>
  </si>
  <si>
    <t>Tangru</t>
  </si>
  <si>
    <t>6403061010880001</t>
  </si>
  <si>
    <t>JL.BULUNGAN</t>
  </si>
  <si>
    <t>Maluang</t>
  </si>
  <si>
    <t>Kec. Gunung Tabur</t>
  </si>
  <si>
    <t>081230272994</t>
  </si>
  <si>
    <t>suparta88.tangru@gmail.com</t>
  </si>
  <si>
    <t>913/086 /IX-SMAN 2/IX/2012</t>
  </si>
  <si>
    <t>Hatijah</t>
  </si>
  <si>
    <t>Rahmatia s</t>
  </si>
  <si>
    <t>66.628.196.9-727.000</t>
  </si>
  <si>
    <t>Bahasa Indonesia, Bahasa dan Sastra Indonesia</t>
  </si>
  <si>
    <t>Syamsuddin</t>
  </si>
  <si>
    <t>Ncera</t>
  </si>
  <si>
    <t>5206040709921003</t>
  </si>
  <si>
    <t>Jln Sambaliung</t>
  </si>
  <si>
    <t>Sambaliung</t>
  </si>
  <si>
    <t>085238989616</t>
  </si>
  <si>
    <t>Syamsuddin_ardin@yahoo.com</t>
  </si>
  <si>
    <t>821.1/085/Disdik-Kab/2015</t>
  </si>
  <si>
    <t>Siti Nur</t>
  </si>
  <si>
    <t>80.655.688.2-727.000</t>
  </si>
  <si>
    <t>Sejarah</t>
  </si>
  <si>
    <t>Sejarah Indonesia, Sejarah</t>
  </si>
  <si>
    <t>Happy Megasari</t>
  </si>
  <si>
    <t xml:space="preserve">S.S </t>
  </si>
  <si>
    <t>Malang</t>
  </si>
  <si>
    <t>6402136509810002</t>
  </si>
  <si>
    <t>0257760660300013</t>
  </si>
  <si>
    <t>Jl. Kalimarau Skadron - 13 / Serbu</t>
  </si>
  <si>
    <t>085250586806</t>
  </si>
  <si>
    <t>happy.megasari@gmail.com</t>
  </si>
  <si>
    <t>814/11.2-415/8866/BKD</t>
  </si>
  <si>
    <t>Susnarti</t>
  </si>
  <si>
    <t>Letda. cpn. Nurma Hadi Teguh Iswanto</t>
  </si>
  <si>
    <t>21070459610687</t>
  </si>
  <si>
    <t>TNI - AD</t>
  </si>
  <si>
    <t>15.639.598.0-728.000</t>
  </si>
  <si>
    <t>Sastra Inggris</t>
  </si>
  <si>
    <t>Rusdiani Syamsuddi</t>
  </si>
  <si>
    <t>6403054703830002</t>
  </si>
  <si>
    <t>Jl. P. Diguna Kel. Bugis</t>
  </si>
  <si>
    <t>082299796359</t>
  </si>
  <si>
    <t>Rusdiani07031984@gmail.com</t>
  </si>
  <si>
    <t>913/37/IX-SMAN2/I/2011</t>
  </si>
  <si>
    <t>Hj. Rusmili</t>
  </si>
  <si>
    <t>Kasmi hidayat</t>
  </si>
  <si>
    <t>197803102009011007</t>
  </si>
  <si>
    <t>72.015.322.0-727.000</t>
  </si>
  <si>
    <t>SMA/sederajat</t>
  </si>
  <si>
    <t>Ilmu Pengetahuan Sosial (IPS)</t>
  </si>
  <si>
    <t>0062442123</t>
  </si>
  <si>
    <t>Adji Farreza Artrihadie</t>
  </si>
  <si>
    <t>6403062208920001</t>
  </si>
  <si>
    <t>Jl Kuran</t>
  </si>
  <si>
    <t>085247811111</t>
  </si>
  <si>
    <t>adjifarreza@yahoo.com</t>
  </si>
  <si>
    <t>821.1/080/Disdik-Kab/Dikdas/2015</t>
  </si>
  <si>
    <t>Hj. Aryusniaty</t>
  </si>
  <si>
    <t>Adji Susan Aruji Bardiana</t>
  </si>
  <si>
    <t>46.562.858.4-727.000</t>
  </si>
  <si>
    <t>0062403624</t>
  </si>
  <si>
    <t>Abdul gani</t>
  </si>
  <si>
    <t>Bima</t>
  </si>
  <si>
    <t>6403090610680001</t>
  </si>
  <si>
    <t>3338746650200003</t>
  </si>
  <si>
    <t>kel rinding</t>
  </si>
  <si>
    <t>081447759506</t>
  </si>
  <si>
    <t>ganibima2017@gmail.com</t>
  </si>
  <si>
    <t>913/263/IX-SMU 1/VII/2003</t>
  </si>
  <si>
    <t>Siti Minah</t>
  </si>
  <si>
    <t>Nurma</t>
  </si>
  <si>
    <t>72.008.909.3-727.000</t>
  </si>
  <si>
    <t>SMP/sederajat</t>
  </si>
  <si>
    <t>Abdul Gani</t>
  </si>
  <si>
    <t>Kab. Berau</t>
  </si>
  <si>
    <t>SMA Negeri 3 Berau</t>
  </si>
  <si>
    <t>Antonius Sinar</t>
  </si>
  <si>
    <t>BAPINANG</t>
  </si>
  <si>
    <t>16 Juni 1969</t>
  </si>
  <si>
    <t>6403131606690002</t>
  </si>
  <si>
    <t>Tenaga Daerah TK. I Provinsi</t>
  </si>
  <si>
    <t>Katolik</t>
  </si>
  <si>
    <t>BIATAN BAPINANG</t>
  </si>
  <si>
    <t>TALISAYAN</t>
  </si>
  <si>
    <t>081254257798</t>
  </si>
  <si>
    <t xml:space="preserve">antonsinar69@gmail.com </t>
  </si>
  <si>
    <t>821/022/V-SMA1/I/2005</t>
  </si>
  <si>
    <t>NURHAYATI</t>
  </si>
  <si>
    <t>SAPTINA</t>
  </si>
  <si>
    <t>Theologi</t>
  </si>
  <si>
    <t>belum</t>
  </si>
  <si>
    <t>Bank Kaltim</t>
  </si>
  <si>
    <t>ANTONIUS SINAR</t>
  </si>
  <si>
    <t>1192033531</t>
  </si>
  <si>
    <t>Anwar</t>
  </si>
  <si>
    <t>LEMBANG BUNE</t>
  </si>
  <si>
    <t>11 September 1992</t>
  </si>
  <si>
    <t>7306031109920001</t>
  </si>
  <si>
    <t>Jl. SOEKARNO HATTA</t>
  </si>
  <si>
    <t>085242912892</t>
  </si>
  <si>
    <t xml:space="preserve">anwarmakassar50@gmail.com </t>
  </si>
  <si>
    <t>HASNAH</t>
  </si>
  <si>
    <t>Pendidikan Bahasa dan Sastra Indonesia</t>
  </si>
  <si>
    <t>ANWAR</t>
  </si>
  <si>
    <t>0062334614</t>
  </si>
  <si>
    <t>Bayu Pradana Putra</t>
  </si>
  <si>
    <t>SAMARINDA</t>
  </si>
  <si>
    <t>29 Juli 1991</t>
  </si>
  <si>
    <t>6403032907910002</t>
  </si>
  <si>
    <t>SAMBALIUNG</t>
  </si>
  <si>
    <t>085246353349</t>
  </si>
  <si>
    <t xml:space="preserve">Bay_you69@yahoo.co.id </t>
  </si>
  <si>
    <t>814.1.03/001 /Disdik-Kab/Dikmen</t>
  </si>
  <si>
    <t>HERLINA</t>
  </si>
  <si>
    <t>74.285.418.5-727.000</t>
  </si>
  <si>
    <t>Pendidikan Bahasa Inggris</t>
  </si>
  <si>
    <t>Bahasa Inggris dan Geografi</t>
  </si>
  <si>
    <t>BAYU PRADANA PUTRA</t>
  </si>
  <si>
    <t>0062311231</t>
  </si>
  <si>
    <t>Eron Saputra</t>
  </si>
  <si>
    <t>14 Maret 1983</t>
  </si>
  <si>
    <t>6403021403830002</t>
  </si>
  <si>
    <t>JL. RA KARTINI</t>
  </si>
  <si>
    <t>081254705795</t>
  </si>
  <si>
    <t xml:space="preserve">phaluntai@gmail.com </t>
  </si>
  <si>
    <t>821/151/V-SMA3/I/2010</t>
  </si>
  <si>
    <t>MARIDAH</t>
  </si>
  <si>
    <t>YULIANTI NURHIDAYAH</t>
  </si>
  <si>
    <t>Ekonomi</t>
  </si>
  <si>
    <t>TIK dan Konseling TIK</t>
  </si>
  <si>
    <t>ERON SAPUTRA</t>
  </si>
  <si>
    <t>1192032551</t>
  </si>
  <si>
    <t>Hariani</t>
  </si>
  <si>
    <t>SINJAI</t>
  </si>
  <si>
    <t>17 November 1991</t>
  </si>
  <si>
    <t>7307085711910001</t>
  </si>
  <si>
    <t>085246325023</t>
  </si>
  <si>
    <t>rianiarief02@gmail.com</t>
  </si>
  <si>
    <t>800/011/V-SMA3/TU</t>
  </si>
  <si>
    <t>BAHRA</t>
  </si>
  <si>
    <t>Pendidikan Seni Budaya</t>
  </si>
  <si>
    <t>HARIANI</t>
  </si>
  <si>
    <t>1192033540</t>
  </si>
  <si>
    <t>Hasmawati</t>
  </si>
  <si>
    <t>PODANG - PODANG</t>
  </si>
  <si>
    <t>17 Mei 1990</t>
  </si>
  <si>
    <t>6403024811900001</t>
  </si>
  <si>
    <t>JL. HASANUDDIN</t>
  </si>
  <si>
    <t>085753867031</t>
  </si>
  <si>
    <t xml:space="preserve">watihasma834@gmail.com </t>
  </si>
  <si>
    <t>800/016/V-SMA3/TU</t>
  </si>
  <si>
    <t>HJ. HASMA</t>
  </si>
  <si>
    <t>AMIRUDDIN</t>
  </si>
  <si>
    <t>Nelayan</t>
  </si>
  <si>
    <t>Pendidikan Sosiologi</t>
  </si>
  <si>
    <t>Sosiologi dan Geografi</t>
  </si>
  <si>
    <t>HASMAWATI</t>
  </si>
  <si>
    <t>1192033507</t>
  </si>
  <si>
    <t>Paidah</t>
  </si>
  <si>
    <t>S.Pdi</t>
  </si>
  <si>
    <t>PANYAMPA</t>
  </si>
  <si>
    <t>01 Agustus 1986</t>
  </si>
  <si>
    <t>7604024108860001</t>
  </si>
  <si>
    <t>5758160304944249</t>
  </si>
  <si>
    <t>JL. SOEKARNO HATTA</t>
  </si>
  <si>
    <t>085248454586</t>
  </si>
  <si>
    <t xml:space="preserve">faidahsantoso@gmail.com </t>
  </si>
  <si>
    <t>821/119/V-SMA3/VII/2010</t>
  </si>
  <si>
    <t>NAJA</t>
  </si>
  <si>
    <t>NUR SANTOSO</t>
  </si>
  <si>
    <t>197003281995031002</t>
  </si>
  <si>
    <t>Pendidikan Agama Islam</t>
  </si>
  <si>
    <t>Pend. Agma, Geografi, dan Bhs. Arab</t>
  </si>
  <si>
    <t>PAIDAH</t>
  </si>
  <si>
    <t>1192026411</t>
  </si>
  <si>
    <t>Ratnawati</t>
  </si>
  <si>
    <t>BIATAN LEMPAKE</t>
  </si>
  <si>
    <t>12 Mei 1985</t>
  </si>
  <si>
    <t>6403135205850003</t>
  </si>
  <si>
    <t>085255875508</t>
  </si>
  <si>
    <t>Rifanrafli976@gmail.com</t>
  </si>
  <si>
    <t>821/044/V-SMA3/IX/2012</t>
  </si>
  <si>
    <t>NURJANNA</t>
  </si>
  <si>
    <t>HERMANSYAH</t>
  </si>
  <si>
    <t>Pendidikan Kimia</t>
  </si>
  <si>
    <t>Kimia</t>
  </si>
  <si>
    <t>RATNAWATI</t>
  </si>
  <si>
    <t>1192023684</t>
  </si>
  <si>
    <t>Rustam</t>
  </si>
  <si>
    <t>25 November 1984</t>
  </si>
  <si>
    <t>6403022511840001</t>
  </si>
  <si>
    <t>2457762666200003</t>
  </si>
  <si>
    <t>Jl. RA KARTINI</t>
  </si>
  <si>
    <t>085388872699</t>
  </si>
  <si>
    <t>utammio607@gmail.com</t>
  </si>
  <si>
    <t>MASRIAH</t>
  </si>
  <si>
    <t>IKAWATI</t>
  </si>
  <si>
    <t>RUSTAM</t>
  </si>
  <si>
    <t>1192033477</t>
  </si>
  <si>
    <t>Ratna Sari Dewi</t>
  </si>
  <si>
    <t>28 Februari 1985</t>
  </si>
  <si>
    <t>6403026802850001</t>
  </si>
  <si>
    <t>6560763665200022</t>
  </si>
  <si>
    <t>085246039785</t>
  </si>
  <si>
    <t xml:space="preserve">dewisariratna28@yahoo.co.id </t>
  </si>
  <si>
    <t>821/027/V-SMA1/I/2007</t>
  </si>
  <si>
    <t>MASBIAH</t>
  </si>
  <si>
    <t>SYAHRONI</t>
  </si>
  <si>
    <t>RATNA SARI DEWI</t>
  </si>
  <si>
    <t>1192033515</t>
  </si>
  <si>
    <t>Ukhtul Hufaidah</t>
  </si>
  <si>
    <t>20 Juli 1989</t>
  </si>
  <si>
    <t>6403026007890001</t>
  </si>
  <si>
    <t>5758160341193277</t>
  </si>
  <si>
    <t>Jl. KEDAMAIAN</t>
  </si>
  <si>
    <t>082149154213</t>
  </si>
  <si>
    <t>gibran.curut@gmail.vom</t>
  </si>
  <si>
    <t>821/100/V-SMA3/II/2010</t>
  </si>
  <si>
    <t>ELLY RUSNIAH</t>
  </si>
  <si>
    <t>ABDUL JABARRUDIN</t>
  </si>
  <si>
    <t>Pegawai Kontrak</t>
  </si>
  <si>
    <t>UKHTUL HUFAIDAH</t>
  </si>
  <si>
    <t>1192027434</t>
  </si>
  <si>
    <t>Kabupaten Berau</t>
  </si>
  <si>
    <t>SMAN 4 Berau</t>
  </si>
  <si>
    <t>Aspawati</t>
  </si>
  <si>
    <t>PINRANG</t>
  </si>
  <si>
    <t>7315115810900006</t>
  </si>
  <si>
    <t>JL. BUKIT BERBUNGA</t>
  </si>
  <si>
    <t>TANJUNG REDEB</t>
  </si>
  <si>
    <t>081234567890</t>
  </si>
  <si>
    <t>aspa.wati@ymail.com</t>
  </si>
  <si>
    <t>443/218/kepsek</t>
  </si>
  <si>
    <t>KAMARIA</t>
  </si>
  <si>
    <t>PENDIDIKAN SEJARAH</t>
  </si>
  <si>
    <t>Sejarah, Sejarah Indonesia</t>
  </si>
  <si>
    <t>Tanjung redeb</t>
  </si>
  <si>
    <t>ASPAWATI</t>
  </si>
  <si>
    <t>0062409894</t>
  </si>
  <si>
    <t>Eka Mareta Rahayu</t>
  </si>
  <si>
    <t>1990-03-15</t>
  </si>
  <si>
    <t>6403055503900002</t>
  </si>
  <si>
    <t>JL. GUNUNG MARITAM</t>
  </si>
  <si>
    <t>081250778550</t>
  </si>
  <si>
    <t>eka.mr@sman4berau.sch.id</t>
  </si>
  <si>
    <t>800/320/KOMITE</t>
  </si>
  <si>
    <t>FADRIYATI</t>
  </si>
  <si>
    <t>SUPRIADI</t>
  </si>
  <si>
    <t>198908052015030001</t>
  </si>
  <si>
    <t>722667441727000</t>
  </si>
  <si>
    <t>PENDIDIKAN MATEMATIKA</t>
  </si>
  <si>
    <t>Matematika</t>
  </si>
  <si>
    <t>EKA MARETA RAHAYU</t>
  </si>
  <si>
    <t>0067018125</t>
  </si>
  <si>
    <t>Prihatiningtyas Ardhini Adi</t>
  </si>
  <si>
    <t>TELUK BAYUR</t>
  </si>
  <si>
    <t>1987-05-15</t>
  </si>
  <si>
    <t>6403095505870003</t>
  </si>
  <si>
    <t>JL. SILO</t>
  </si>
  <si>
    <t>087811055513</t>
  </si>
  <si>
    <t>littlepigeon87@gmail.com</t>
  </si>
  <si>
    <t>800/015/SMAN4/I/2011</t>
  </si>
  <si>
    <t>RANTIMAH</t>
  </si>
  <si>
    <t>MUHAMMAD FIRDIANSYAH</t>
  </si>
  <si>
    <t>722667466727000</t>
  </si>
  <si>
    <t>Seni Budaya,Sejarah Indonesia</t>
  </si>
  <si>
    <t>PRIHATININGTYAS ARDHINI ADI</t>
  </si>
  <si>
    <t>Haji</t>
  </si>
  <si>
    <t>Samin</t>
  </si>
  <si>
    <t>MA</t>
  </si>
  <si>
    <t>TANGSE</t>
  </si>
  <si>
    <t>1982-12-22</t>
  </si>
  <si>
    <t>6403052212820001</t>
  </si>
  <si>
    <t>8554760661200023</t>
  </si>
  <si>
    <t>JL. MURJANI II NO 3</t>
  </si>
  <si>
    <t>KARANG AMBUN</t>
  </si>
  <si>
    <t>085260282862</t>
  </si>
  <si>
    <t>samir_al_khalis@yahoo.co.id</t>
  </si>
  <si>
    <t>814/1890/BKD-1/2007</t>
  </si>
  <si>
    <t>NYAKDE</t>
  </si>
  <si>
    <t>BARDIATUS SA'ADAH</t>
  </si>
  <si>
    <t>150572873727000</t>
  </si>
  <si>
    <t>S2</t>
  </si>
  <si>
    <t>Pend. Agama Islam</t>
  </si>
  <si>
    <t>SAMIN</t>
  </si>
  <si>
    <t>Zein Munajat Arasy Padil</t>
  </si>
  <si>
    <t>MAKASSAR</t>
  </si>
  <si>
    <t>1987-07-25</t>
  </si>
  <si>
    <t>7306072507870005</t>
  </si>
  <si>
    <t>085242305106</t>
  </si>
  <si>
    <t>zeinmunajat87@gmail.com</t>
  </si>
  <si>
    <t>814.1/511/Kepsek</t>
  </si>
  <si>
    <t>ASMAH PADIL</t>
  </si>
  <si>
    <t>BAHASA JERMAN</t>
  </si>
  <si>
    <t>Bahasa Jerman, Sejarah Indonesia</t>
  </si>
  <si>
    <t>ZEIN MUNAJAT ARASY PADIL</t>
  </si>
  <si>
    <t>0062410116</t>
  </si>
  <si>
    <t>Halomoan Hutagaol</t>
  </si>
  <si>
    <t>BALIGE</t>
  </si>
  <si>
    <t>1989-02-15</t>
  </si>
  <si>
    <t>6403031502890001</t>
  </si>
  <si>
    <t>JL. AR PERWIRO</t>
  </si>
  <si>
    <t>081312093566</t>
  </si>
  <si>
    <t>halomoan.hutagaol89@gmail.com</t>
  </si>
  <si>
    <t>443/218/KEPSEK</t>
  </si>
  <si>
    <t>REDIA SIANIPAR</t>
  </si>
  <si>
    <t>AYU CHUSNAYANTI MUSTOFA</t>
  </si>
  <si>
    <t>545792301727000</t>
  </si>
  <si>
    <t>TEKNIK INFORMATIKA</t>
  </si>
  <si>
    <t>TIK, PKWU</t>
  </si>
  <si>
    <t>TIK</t>
  </si>
  <si>
    <t>HALOMOAN HUTAGAOL</t>
  </si>
  <si>
    <t>0062410019</t>
  </si>
  <si>
    <t>Din Wahyudi Dini</t>
  </si>
  <si>
    <t>6403030902790002</t>
  </si>
  <si>
    <t>Petugas Keamanan</t>
  </si>
  <si>
    <t>082148094311</t>
  </si>
  <si>
    <t>dinwahyudidini1979@gmail.com</t>
  </si>
  <si>
    <t>821.3/010/SMAN_14/I/2014</t>
  </si>
  <si>
    <t>FATMAWATI</t>
  </si>
  <si>
    <t>MULYANA</t>
  </si>
  <si>
    <t>DIN WAHYUDI DINI</t>
  </si>
  <si>
    <t>Putri Adina Rezky</t>
  </si>
  <si>
    <t>1993-05-17</t>
  </si>
  <si>
    <t>6403075705930002</t>
  </si>
  <si>
    <t>Petugas Perpustakaan</t>
  </si>
  <si>
    <t>JL. MILONO GG PADAIDI</t>
  </si>
  <si>
    <t>GAYAM</t>
  </si>
  <si>
    <t>081255664105</t>
  </si>
  <si>
    <t>putriadinarz@gmail.com</t>
  </si>
  <si>
    <t>814.1.03/001/Disdik-Kab/Dikmen</t>
  </si>
  <si>
    <t>HJ. ASPIAH</t>
  </si>
  <si>
    <t>732847132727000</t>
  </si>
  <si>
    <t>PUTRI ADINA REZKY</t>
  </si>
  <si>
    <t>0062409916</t>
  </si>
  <si>
    <t>Rahmansyah</t>
  </si>
  <si>
    <t>GUNUNG TABUR</t>
  </si>
  <si>
    <t>6403062206960001</t>
  </si>
  <si>
    <t>JL. PANGERAN DIULU</t>
  </si>
  <si>
    <t>085391899981</t>
  </si>
  <si>
    <t>rahmansyah22berau@gmail.com</t>
  </si>
  <si>
    <t>443/001/Kepsek</t>
  </si>
  <si>
    <t>MASRUMIAH</t>
  </si>
  <si>
    <t>RAHMANSYAH</t>
  </si>
  <si>
    <t>Fenny Alvionita Dini</t>
  </si>
  <si>
    <t>Amd.Kep</t>
  </si>
  <si>
    <t>1990-11-22</t>
  </si>
  <si>
    <t>6403036211910001</t>
  </si>
  <si>
    <t>JL. RAJA ALAM I</t>
  </si>
  <si>
    <t>vionita.dini@gmail.com</t>
  </si>
  <si>
    <t>800/417/Kepsek</t>
  </si>
  <si>
    <t>Perawat</t>
  </si>
  <si>
    <t>FENNY ALVIONITA DINI</t>
  </si>
  <si>
    <t>0062409908</t>
  </si>
  <si>
    <t>Indra Surya</t>
  </si>
  <si>
    <t>1979-06-14</t>
  </si>
  <si>
    <t>6403031406790001</t>
  </si>
  <si>
    <t>Pesuruh/Office Boy</t>
  </si>
  <si>
    <t>085347955553</t>
  </si>
  <si>
    <t>indrasuryasmb79@gmail.com</t>
  </si>
  <si>
    <t>800/001/Kepsek</t>
  </si>
  <si>
    <t>BADERIHAN</t>
  </si>
  <si>
    <t>ICHE TRISNAWATI</t>
  </si>
  <si>
    <t>INDRA SURYA</t>
  </si>
  <si>
    <t>0062409932</t>
  </si>
  <si>
    <t>Normansyah</t>
  </si>
  <si>
    <t>1989-07-01</t>
  </si>
  <si>
    <t>640303071890002</t>
  </si>
  <si>
    <t>JL. RAJA ALAM II</t>
  </si>
  <si>
    <t>085247845557</t>
  </si>
  <si>
    <t>normansyah465@gmail.com</t>
  </si>
  <si>
    <t>800/690/Disdik-Kab/2011</t>
  </si>
  <si>
    <t>KASMIATI</t>
  </si>
  <si>
    <t>NORMANSYAH</t>
  </si>
  <si>
    <t>0062409941</t>
  </si>
  <si>
    <t>Ayu Candra</t>
  </si>
  <si>
    <t>LAMONGAN</t>
  </si>
  <si>
    <t>6403034911940003</t>
  </si>
  <si>
    <t>082250838660</t>
  </si>
  <si>
    <t>Ayuchandra320@gmail.com</t>
  </si>
  <si>
    <t>KASTIYAH</t>
  </si>
  <si>
    <t>PENDIDIKAN BAHASA INGGRIS</t>
  </si>
  <si>
    <t>AYU CANDRA</t>
  </si>
  <si>
    <t>0062410094</t>
  </si>
  <si>
    <t>Baharuddin</t>
  </si>
  <si>
    <t>6403030803710002</t>
  </si>
  <si>
    <t>085245909033</t>
  </si>
  <si>
    <t>baharuddinundin5@gmail.com</t>
  </si>
  <si>
    <t>814.1.03/001/Disdik-Kab/dikmen</t>
  </si>
  <si>
    <t>SARIPAH</t>
  </si>
  <si>
    <t>MARIANA</t>
  </si>
  <si>
    <t>BAHARUDDIN</t>
  </si>
  <si>
    <t>0062409924</t>
  </si>
  <si>
    <t>SMA Negeri 5 Berau</t>
  </si>
  <si>
    <t>Fenny Irawati</t>
  </si>
  <si>
    <t>S.Pi</t>
  </si>
  <si>
    <t>6403066903810001</t>
  </si>
  <si>
    <t xml:space="preserve">Jl. Kuran </t>
  </si>
  <si>
    <t>085390453314</t>
  </si>
  <si>
    <t>Fennyedison81@gmail.com</t>
  </si>
  <si>
    <t>814/1860/BKD-I/2005</t>
  </si>
  <si>
    <t>Bupati Berau</t>
  </si>
  <si>
    <t>Rosalina</t>
  </si>
  <si>
    <t>KAWIN</t>
  </si>
  <si>
    <t>Syamsul Edison,SE</t>
  </si>
  <si>
    <t>197212242007011000</t>
  </si>
  <si>
    <t>666762471727000</t>
  </si>
  <si>
    <t>Sosial Ekonomi Perikanan</t>
  </si>
  <si>
    <t>Fenny Irawati,S.Pi</t>
  </si>
  <si>
    <t>0062664231</t>
  </si>
  <si>
    <t>Mulyono</t>
  </si>
  <si>
    <t>Nganjuk</t>
  </si>
  <si>
    <t>6403090304750001</t>
  </si>
  <si>
    <t>Tukang Kebun</t>
  </si>
  <si>
    <t>Jl. SM Siranuddin</t>
  </si>
  <si>
    <t>081346206678</t>
  </si>
  <si>
    <t>800/005/SMAN5/I/2012</t>
  </si>
  <si>
    <t>Mukini</t>
  </si>
  <si>
    <t>Hartutik</t>
  </si>
  <si>
    <t>SD/Sederajat</t>
  </si>
  <si>
    <t>1552231674</t>
  </si>
  <si>
    <t>Parnadi</t>
  </si>
  <si>
    <t>6403091405900001</t>
  </si>
  <si>
    <t>082149145976</t>
  </si>
  <si>
    <t>800/222.1/SMAN5/VII/2013</t>
  </si>
  <si>
    <t>SMP/Sederajat</t>
  </si>
  <si>
    <t>0062664380</t>
  </si>
  <si>
    <t>Dedi Agus Supriadi</t>
  </si>
  <si>
    <t>6403061508730001</t>
  </si>
  <si>
    <t>Jl. Laksamana</t>
  </si>
  <si>
    <t>085392031848</t>
  </si>
  <si>
    <t>800/513/SMAN5/VII/2015</t>
  </si>
  <si>
    <t>Habiba</t>
  </si>
  <si>
    <t>Jamiliah Gusti Nuch</t>
  </si>
  <si>
    <t>0062662328</t>
  </si>
  <si>
    <t>SMA Negeri 6 Berau</t>
  </si>
  <si>
    <t>Reka Irawanti</t>
  </si>
  <si>
    <t>S.PdI</t>
  </si>
  <si>
    <t>6403096001820002</t>
  </si>
  <si>
    <t>3452760660200012</t>
  </si>
  <si>
    <t>JL. Kampung Manado</t>
  </si>
  <si>
    <t>082357442922</t>
  </si>
  <si>
    <t>rekhairawanti82@gmail.com</t>
  </si>
  <si>
    <t>800/356/Disdik-Kab/TGT</t>
  </si>
  <si>
    <t>01/07/2008</t>
  </si>
  <si>
    <t>Kepala Dinas Pendidikan Kabupaten</t>
  </si>
  <si>
    <t>Siti Normala</t>
  </si>
  <si>
    <t>Tugimin</t>
  </si>
  <si>
    <t>Belum</t>
  </si>
  <si>
    <t>66.405.072.1-727.000</t>
  </si>
  <si>
    <t xml:space="preserve">S1 </t>
  </si>
  <si>
    <t>Tarbiyah/Kependidikan Islam</t>
  </si>
  <si>
    <t xml:space="preserve"> Pendidikan Agama Islam (PAI) Dan Seni Budaya</t>
  </si>
  <si>
    <t>Susilawati</t>
  </si>
  <si>
    <t>S.Kom</t>
  </si>
  <si>
    <t>6403054210800002</t>
  </si>
  <si>
    <t>4334758660300073</t>
  </si>
  <si>
    <t>JL. Asmil Yon Armed 18/Komposit</t>
  </si>
  <si>
    <t>Labanan Makmur</t>
  </si>
  <si>
    <t>082253699000</t>
  </si>
  <si>
    <t>skomsusilawati@gmail.com</t>
  </si>
  <si>
    <t>800/255/Disdik-Kab/TGT</t>
  </si>
  <si>
    <t>Farida Iriani</t>
  </si>
  <si>
    <t>Ali Fikri Pasaribu</t>
  </si>
  <si>
    <t>31060734420385</t>
  </si>
  <si>
    <t>TNI</t>
  </si>
  <si>
    <t>66.405.053.1-727.000</t>
  </si>
  <si>
    <t>Sistem Informasi/Sistem Informasi</t>
  </si>
  <si>
    <t>Seni Budaya Dan TIK</t>
  </si>
  <si>
    <t>Husni Handayany Pappunnai</t>
  </si>
  <si>
    <t>Tabalar Muara</t>
  </si>
  <si>
    <t>6403054105810001</t>
  </si>
  <si>
    <t>0833759660300042</t>
  </si>
  <si>
    <t>JL. Dahlia</t>
  </si>
  <si>
    <t>081347708500</t>
  </si>
  <si>
    <t>husnihandayany@gmail.com</t>
  </si>
  <si>
    <t>800/205/Disdik-Kab/TGT</t>
  </si>
  <si>
    <t>Saidatul Bariah</t>
  </si>
  <si>
    <t>Hasanuddin</t>
  </si>
  <si>
    <t>66.405.060.6-727.000</t>
  </si>
  <si>
    <t xml:space="preserve">Pendidikan Ekonomi/Pendidikan Ekonomi (Tata Niaga) </t>
  </si>
  <si>
    <t>Ekonomi Lintas Minat Dan Sejarah Indonesia</t>
  </si>
  <si>
    <t>Pendidikan Ekonomi</t>
  </si>
  <si>
    <t>Bermawati</t>
  </si>
  <si>
    <t>Balikpapan</t>
  </si>
  <si>
    <t>6403055001720003</t>
  </si>
  <si>
    <t>1442750653300012</t>
  </si>
  <si>
    <t>JL. Durian III</t>
  </si>
  <si>
    <t>085348828360</t>
  </si>
  <si>
    <t>bermawati72@gmail.com</t>
  </si>
  <si>
    <t>800/557/Disdik-Kab/TGT</t>
  </si>
  <si>
    <t>Siti Salsiah</t>
  </si>
  <si>
    <t>Mugiyardi</t>
  </si>
  <si>
    <t>55.450.501.6-727.000</t>
  </si>
  <si>
    <t>Pendidikan Ilmu Pengetahuan Sosial/ Pendidikan Ekonomi</t>
  </si>
  <si>
    <t>Akuntansi (Keterampilan Jasa) Dan Ekonomi Lintas/Peminatan</t>
  </si>
  <si>
    <t>Mohammad Fauzi</t>
  </si>
  <si>
    <t>6403091011800001</t>
  </si>
  <si>
    <t>1442758660200043</t>
  </si>
  <si>
    <t>JL. Asam</t>
  </si>
  <si>
    <t>Labanan Jaya</t>
  </si>
  <si>
    <t>081346689919</t>
  </si>
  <si>
    <t>gus.fauji@gmail.com</t>
  </si>
  <si>
    <t>800/204/Disdik-Kab/TGT</t>
  </si>
  <si>
    <t>Sumakyah</t>
  </si>
  <si>
    <t>Baiq Indrawati</t>
  </si>
  <si>
    <t>IRT</t>
  </si>
  <si>
    <t>46.244.414.2-727.000</t>
  </si>
  <si>
    <t>Tarbiyah/Pendidikan Agama Islam</t>
  </si>
  <si>
    <t>Pendidikan Agama Islam (PAI), Sejarah Peminatan dan Mulok Ling Hidup</t>
  </si>
  <si>
    <t>Sri Wulandari</t>
  </si>
  <si>
    <t>Runggu</t>
  </si>
  <si>
    <t>5206044702880002</t>
  </si>
  <si>
    <t>JL. Asmil Yon Armed 18/05 Tarik</t>
  </si>
  <si>
    <t>085250763029</t>
  </si>
  <si>
    <t>SIWE.mbozho@gmail.com</t>
  </si>
  <si>
    <t>814.1.03/100/Disdik-Kab Dikmen</t>
  </si>
  <si>
    <t>01/07/2014</t>
  </si>
  <si>
    <t>ST. Hawa</t>
  </si>
  <si>
    <t>Nuryaman</t>
  </si>
  <si>
    <t>31110053891289</t>
  </si>
  <si>
    <t>72.147.352.8-727.000</t>
  </si>
  <si>
    <t>Ilmu Pengetahuan Sosial/ Pendidikan Sosiologi</t>
  </si>
  <si>
    <t>Sosiologi Minat/Sosiologi</t>
  </si>
  <si>
    <t>Erni Yusnita</t>
  </si>
  <si>
    <t>Jakarta</t>
  </si>
  <si>
    <t>6403055606880001</t>
  </si>
  <si>
    <t>JL. Mangga Besar</t>
  </si>
  <si>
    <t>082242069810</t>
  </si>
  <si>
    <t>ernisuhermansyah@yahoo.com</t>
  </si>
  <si>
    <t>002/SK/PPLP-PGRI/Berau/2010</t>
  </si>
  <si>
    <t>03/01/2010</t>
  </si>
  <si>
    <t xml:space="preserve">Ketua Yayasan </t>
  </si>
  <si>
    <t>Nur'aini</t>
  </si>
  <si>
    <t>Aceng Suhermansyah</t>
  </si>
  <si>
    <t>198701142010011008</t>
  </si>
  <si>
    <t>71.850.133.1-727.000</t>
  </si>
  <si>
    <t>Pendidikan MIPA/ Pendidikan Biologi</t>
  </si>
  <si>
    <t>Biologi Minat/Lintas dan Kimia Lintas Minat</t>
  </si>
  <si>
    <t>Pendidikan Biologi</t>
  </si>
  <si>
    <t>Fitriasari</t>
  </si>
  <si>
    <t>S.Si</t>
  </si>
  <si>
    <t>Mansalong</t>
  </si>
  <si>
    <t>6403055406840006</t>
  </si>
  <si>
    <t>5946762664300082</t>
  </si>
  <si>
    <t>JL. Durian III Gang Rimba No 958-B</t>
  </si>
  <si>
    <t>085299275430</t>
  </si>
  <si>
    <t>fitriasari.1984@gmail.com</t>
  </si>
  <si>
    <t>896/003/SMAN1/Lbs/VII/2008</t>
  </si>
  <si>
    <t>Janariah</t>
  </si>
  <si>
    <t>Wanda Hermansyah</t>
  </si>
  <si>
    <t>Tenaga Honorer</t>
  </si>
  <si>
    <t>46.281.123.3-727.000</t>
  </si>
  <si>
    <t>Kimia/ Kimia</t>
  </si>
  <si>
    <t xml:space="preserve"> Tim Pengembang Kurikulum</t>
  </si>
  <si>
    <t>Kimia Peminatan/Kimia</t>
  </si>
  <si>
    <t>0067024508</t>
  </si>
  <si>
    <t>Simprianus Simpo</t>
  </si>
  <si>
    <t>Ewa</t>
  </si>
  <si>
    <t>5307093005860003</t>
  </si>
  <si>
    <t>Katholik</t>
  </si>
  <si>
    <t>Jl. Pandan Sari</t>
  </si>
  <si>
    <t>Pandan Sari</t>
  </si>
  <si>
    <t>Segah</t>
  </si>
  <si>
    <t>082149158191</t>
  </si>
  <si>
    <t>simprianusid3@gmail.com</t>
  </si>
  <si>
    <t>814/094/SMAN6-BR/VIII/2013</t>
  </si>
  <si>
    <t>19/08/2013</t>
  </si>
  <si>
    <t>Bernadeta Bukan</t>
  </si>
  <si>
    <t>76.123.269.3-727.000</t>
  </si>
  <si>
    <t>Pendidikan MIPA/ Pendidikan Matematika</t>
  </si>
  <si>
    <t>Matematika Wajib</t>
  </si>
  <si>
    <t>Pendidikan Matematika</t>
  </si>
  <si>
    <t>Ridwan</t>
  </si>
  <si>
    <t>6403052103800001</t>
  </si>
  <si>
    <t>7653758661200012</t>
  </si>
  <si>
    <t>JL. Betet</t>
  </si>
  <si>
    <t>085247257319</t>
  </si>
  <si>
    <t>ridwanhusnih@gmail.com</t>
  </si>
  <si>
    <t>814/294/SMAN6-BR/VII/2009</t>
  </si>
  <si>
    <t>01/07/2009</t>
  </si>
  <si>
    <t>Nuraeni</t>
  </si>
  <si>
    <t>Husnih</t>
  </si>
  <si>
    <t>197805082009042004</t>
  </si>
  <si>
    <t>75.881.061.8-727.000</t>
  </si>
  <si>
    <t xml:space="preserve"> Pembina Ekstrakurikuler</t>
  </si>
  <si>
    <t xml:space="preserve"> Pendidikan Agama Islam (PAI), Sejarah Indonesia Dan Penjaskes</t>
  </si>
  <si>
    <t>Kartini</t>
  </si>
  <si>
    <t>Apitaik</t>
  </si>
  <si>
    <t>5203084610880003</t>
  </si>
  <si>
    <t>Jl. Kemakmuran</t>
  </si>
  <si>
    <t>Suaran</t>
  </si>
  <si>
    <t>082341525226</t>
  </si>
  <si>
    <t>gunajafarhana@gmail.com</t>
  </si>
  <si>
    <t>814/094/SMAN 6-BR/VIII/2013</t>
  </si>
  <si>
    <t>Sulhan</t>
  </si>
  <si>
    <t>Syarif Hidayatulloh</t>
  </si>
  <si>
    <t>198512242011011009</t>
  </si>
  <si>
    <t>Pendidikan Ilmu Pengetahuan Sosial</t>
  </si>
  <si>
    <t>Geografi</t>
  </si>
  <si>
    <t>Pendidikan Geografi</t>
  </si>
  <si>
    <t>Alfida Djawin Nuha</t>
  </si>
  <si>
    <t>3505044504890002</t>
  </si>
  <si>
    <t>Guru BK</t>
  </si>
  <si>
    <t>JL. Cendrawasih II</t>
  </si>
  <si>
    <t>085646311254</t>
  </si>
  <si>
    <t>alfidanuha@gmail.com</t>
  </si>
  <si>
    <t>814/104/SMAN6-BR/VIII/2013</t>
  </si>
  <si>
    <t>31/08/2013</t>
  </si>
  <si>
    <t>Suwarni</t>
  </si>
  <si>
    <t>Jainul Arifin</t>
  </si>
  <si>
    <t xml:space="preserve"> Pendidikan Bimbingan dan Konseling</t>
  </si>
  <si>
    <t>BK Dan Bahasa Indonesia</t>
  </si>
  <si>
    <t>Bimbingan dan Konseling (Konselor)</t>
  </si>
  <si>
    <t>Paisal Rusanda</t>
  </si>
  <si>
    <t>6409041401860003</t>
  </si>
  <si>
    <t>Jl. Manunggal Jaya</t>
  </si>
  <si>
    <t>Manunggal Jaya</t>
  </si>
  <si>
    <t>Biatan</t>
  </si>
  <si>
    <t>082353147267</t>
  </si>
  <si>
    <t>yennirusanda@gamail.com</t>
  </si>
  <si>
    <t>02/01/2014</t>
  </si>
  <si>
    <t>Dahang</t>
  </si>
  <si>
    <t>Yenni</t>
  </si>
  <si>
    <t>PKN Dan Sejarah Indonesia</t>
  </si>
  <si>
    <t>Talisayan</t>
  </si>
  <si>
    <t>Erna Rusdawati</t>
  </si>
  <si>
    <t>SP</t>
  </si>
  <si>
    <t>Labanan</t>
  </si>
  <si>
    <t>6403055309870002</t>
  </si>
  <si>
    <t>8245765665300003</t>
  </si>
  <si>
    <t>Jl. SM. Aminuddin GG IV</t>
  </si>
  <si>
    <t>081254874252</t>
  </si>
  <si>
    <t>ernarusdawati87@gmail.com</t>
  </si>
  <si>
    <t>800/277/Disdik-Kab/TGT</t>
  </si>
  <si>
    <t>Rohana</t>
  </si>
  <si>
    <t>Agus Sarwani</t>
  </si>
  <si>
    <t>66.405.046.5-727.000</t>
  </si>
  <si>
    <t>Agroteknologi / Agroteknologi</t>
  </si>
  <si>
    <t>Surati</t>
  </si>
  <si>
    <t>Teluk bayur</t>
  </si>
  <si>
    <t>6403096110820001</t>
  </si>
  <si>
    <t>1353760659300003</t>
  </si>
  <si>
    <t>Jl. Gunung Mas</t>
  </si>
  <si>
    <t>081347510706</t>
  </si>
  <si>
    <t>suratimeryn@yahoo.com</t>
  </si>
  <si>
    <t>800/273/Disdik-Kab/2009</t>
  </si>
  <si>
    <t>01/01/2009</t>
  </si>
  <si>
    <t>Suyekti</t>
  </si>
  <si>
    <t>Suyadi</t>
  </si>
  <si>
    <t>66.405.006.9-727.000</t>
  </si>
  <si>
    <t>IPA</t>
  </si>
  <si>
    <t>Eni Musarofah</t>
  </si>
  <si>
    <t>Bojonegoro</t>
  </si>
  <si>
    <t>6403097011810001</t>
  </si>
  <si>
    <t>2462759660210063</t>
  </si>
  <si>
    <t xml:space="preserve">Jl.Punai </t>
  </si>
  <si>
    <t>082152953976</t>
  </si>
  <si>
    <t>jepangparwa@gmail.com</t>
  </si>
  <si>
    <t>800/587/Disdik-Kab/2009</t>
  </si>
  <si>
    <t>01/10/2009</t>
  </si>
  <si>
    <t>Siti Muntamah</t>
  </si>
  <si>
    <t>Parwadi</t>
  </si>
  <si>
    <t>66.405.075.4-727.000</t>
  </si>
  <si>
    <t>Akuntansi Keuangan</t>
  </si>
  <si>
    <t>Winarsu</t>
  </si>
  <si>
    <t>6403092211760001</t>
  </si>
  <si>
    <t>0454754657200013</t>
  </si>
  <si>
    <t>Jl. Kakaktua</t>
  </si>
  <si>
    <t>082157033284</t>
  </si>
  <si>
    <t>winarsu_scout@yahoo.com</t>
  </si>
  <si>
    <t>800/397/Disdik-Kab/2009</t>
  </si>
  <si>
    <t>01/08/2009</t>
  </si>
  <si>
    <t>Saminah</t>
  </si>
  <si>
    <t>66.405.026.7-727.000</t>
  </si>
  <si>
    <t>Komariyanto</t>
  </si>
  <si>
    <t>Surabaya</t>
  </si>
  <si>
    <t>6403092507720002</t>
  </si>
  <si>
    <t>1057750651200013</t>
  </si>
  <si>
    <t>Jl. Manisan</t>
  </si>
  <si>
    <t>085251811842</t>
  </si>
  <si>
    <t>komariyanto72@gmail.com</t>
  </si>
  <si>
    <t>800/425/Disdik-Kab/2009</t>
  </si>
  <si>
    <t>Atinem</t>
  </si>
  <si>
    <t>Siti Puryani</t>
  </si>
  <si>
    <t>66.405.018.4-727.000</t>
  </si>
  <si>
    <t>Reni Andriani</t>
  </si>
  <si>
    <t>6403094502890001</t>
  </si>
  <si>
    <t>Jl. Parkit</t>
  </si>
  <si>
    <t>081255083528</t>
  </si>
  <si>
    <t>reandry89@gmail.com</t>
  </si>
  <si>
    <t>Surahmi</t>
  </si>
  <si>
    <t>M. Soleh</t>
  </si>
  <si>
    <t>Selamet Riyanto</t>
  </si>
  <si>
    <t>Lombok Barat</t>
  </si>
  <si>
    <t>6403031112620001</t>
  </si>
  <si>
    <t>Jl. Sirsat</t>
  </si>
  <si>
    <t>082159168204</t>
  </si>
  <si>
    <t>selametriyanto980@gmail.com</t>
  </si>
  <si>
    <t>814/38/SMAN6-BR/II/2015</t>
  </si>
  <si>
    <t>01/02/2015</t>
  </si>
  <si>
    <t>Sarinah</t>
  </si>
  <si>
    <t>Baiq Muharmin</t>
  </si>
  <si>
    <t>Yuli Setyaningsih</t>
  </si>
  <si>
    <t>6403095406880003</t>
  </si>
  <si>
    <t>Jl. Rajawali</t>
  </si>
  <si>
    <t>085251984034</t>
  </si>
  <si>
    <t>setyaningsihy4@gmail.com</t>
  </si>
  <si>
    <t>814/196/SMAN6-BR/VIII/2015</t>
  </si>
  <si>
    <t>01/08/2015</t>
  </si>
  <si>
    <t>Sujiyem</t>
  </si>
  <si>
    <t>Sudharyanto</t>
  </si>
  <si>
    <t>800/2230/Disdikbud-Ia/ 2017</t>
  </si>
  <si>
    <t>SMA Negeri 7 Berau</t>
  </si>
  <si>
    <t>Andriyani</t>
  </si>
  <si>
    <t>S.Psi</t>
  </si>
  <si>
    <t>Samarinda</t>
  </si>
  <si>
    <t>6403057101840003</t>
  </si>
  <si>
    <t>4463-7626-6230-0012</t>
  </si>
  <si>
    <t>Honor Daerah  TK. I Provinsi</t>
  </si>
  <si>
    <t>Jl. Manggis No. 292, Tg. Redeb</t>
  </si>
  <si>
    <t>081346305205</t>
  </si>
  <si>
    <t>enie_aquarius@yahoo.co.id</t>
  </si>
  <si>
    <t>800/360/Disdik-Kab/TGT</t>
  </si>
  <si>
    <t>Rosmi Alasta</t>
  </si>
  <si>
    <t>Endy Atma Sulistiya, S.Sos</t>
  </si>
  <si>
    <t>198005272009041003</t>
  </si>
  <si>
    <t>704592641727000</t>
  </si>
  <si>
    <t>Psikologi</t>
  </si>
  <si>
    <t>BK / Sosiologi</t>
  </si>
  <si>
    <t>BK</t>
  </si>
  <si>
    <t>Pasar Sanggam Adji Dilayas</t>
  </si>
  <si>
    <t>155 223 2816</t>
  </si>
  <si>
    <t>800/2235/Disdikbud-Ia/ 2017</t>
  </si>
  <si>
    <t>Umrah</t>
  </si>
  <si>
    <t>Ujung Pandang</t>
  </si>
  <si>
    <t>6403056509830002</t>
  </si>
  <si>
    <t>8257-7616-6330-0073</t>
  </si>
  <si>
    <t>Jl. Pulau Semama No.833, Tg. Redeb</t>
  </si>
  <si>
    <t>081350664873</t>
  </si>
  <si>
    <t>uum2509@gmail.com</t>
  </si>
  <si>
    <t>800/405/Disdik-Kab/2009</t>
  </si>
  <si>
    <t>Hj. Asiah</t>
  </si>
  <si>
    <t>Priyo Amboro</t>
  </si>
  <si>
    <t>706310083727000</t>
  </si>
  <si>
    <t>Pembina Pramuka / Pembina OSN</t>
  </si>
  <si>
    <t>Matematika Wajib/Matematika Peminatan</t>
  </si>
  <si>
    <t>155 200 9351</t>
  </si>
  <si>
    <t>800/2231/Disdikbud-Ia/ 2017</t>
  </si>
  <si>
    <t>Feny Wulan Sari</t>
  </si>
  <si>
    <t>S.Si, M.Pd</t>
  </si>
  <si>
    <t>6403054101860003</t>
  </si>
  <si>
    <t>2433-7646-6630-0122</t>
  </si>
  <si>
    <t>Jl. Melati No. 06, Kel. Gayam, Kec. Tg. Redeb</t>
  </si>
  <si>
    <t>081259277901</t>
  </si>
  <si>
    <t>fenyws@gmail.com</t>
  </si>
  <si>
    <t>800/413/Disdi-Kab/2009</t>
  </si>
  <si>
    <t>Purlina Malinda</t>
  </si>
  <si>
    <t>H. Fasa Suwardi Putra</t>
  </si>
  <si>
    <t>706319233727000</t>
  </si>
  <si>
    <t>Administrasi Pendidikan</t>
  </si>
  <si>
    <t>Biologi / Prakarya &amp; KWU</t>
  </si>
  <si>
    <t xml:space="preserve">Biologi </t>
  </si>
  <si>
    <t>155 200 9378</t>
  </si>
  <si>
    <t>800/2233/Disdikbud-Ia/ 2017</t>
  </si>
  <si>
    <t>Munawar</t>
  </si>
  <si>
    <t>Camba</t>
  </si>
  <si>
    <t>6403090708800001</t>
  </si>
  <si>
    <t>5139-7586-5911-0043</t>
  </si>
  <si>
    <t>Jl. Albina atas, RT. 15, Tg. Redeb</t>
  </si>
  <si>
    <t>081343710627</t>
  </si>
  <si>
    <t>Munawaralvinaku@gmail.com</t>
  </si>
  <si>
    <t>821.1/080/Disdik-Kab/Dikdas/2013</t>
  </si>
  <si>
    <t>2013-01-03</t>
  </si>
  <si>
    <t>Hasbiah</t>
  </si>
  <si>
    <t>Nirwana</t>
  </si>
  <si>
    <t>Guru</t>
  </si>
  <si>
    <t>707372199727000</t>
  </si>
  <si>
    <t>Pendidikan PPKN</t>
  </si>
  <si>
    <t>PKN</t>
  </si>
  <si>
    <t>155 200 9343</t>
  </si>
  <si>
    <t>800/2232/Disdikbud-Ia/ 2017</t>
  </si>
  <si>
    <t>Miarti Ekayanti</t>
  </si>
  <si>
    <t>6403056105890006</t>
  </si>
  <si>
    <t>Jl. Murjani III, Perum Teluk Indah Lestari 2, Tg. Redeb</t>
  </si>
  <si>
    <t>081251802549</t>
  </si>
  <si>
    <t>meemeyjasmine@yahoo.com</t>
  </si>
  <si>
    <t>814.1.03/179/Disdik-Kab/Dikmen</t>
  </si>
  <si>
    <t>Dewi Iriani</t>
  </si>
  <si>
    <t>M. Salman, SE</t>
  </si>
  <si>
    <t>Karyawan Bank</t>
  </si>
  <si>
    <t>721517985727000</t>
  </si>
  <si>
    <t>Teknik Informatika</t>
  </si>
  <si>
    <t>TIK / Seni Budaya</t>
  </si>
  <si>
    <t xml:space="preserve">TIK </t>
  </si>
  <si>
    <t>155 223 2786</t>
  </si>
  <si>
    <t>800/2234/Disdikbud-Ia/ 2017</t>
  </si>
  <si>
    <t>Tarakan</t>
  </si>
  <si>
    <t>6473024101890005</t>
  </si>
  <si>
    <t>Jl. Tipalayo, Gunung Tabur</t>
  </si>
  <si>
    <t>085246211151</t>
  </si>
  <si>
    <t>yayan.fikri@yahoo.com</t>
  </si>
  <si>
    <t>800/2234/Disdikbud-Ia/2017</t>
  </si>
  <si>
    <t>Pemerintah Provinsi</t>
  </si>
  <si>
    <t>Sahariah</t>
  </si>
  <si>
    <t>Muh. Tamsil</t>
  </si>
  <si>
    <t>557897493727000</t>
  </si>
  <si>
    <t>Pendidikan Bahasa Asing/Jerman</t>
  </si>
  <si>
    <t>Bahasa Jerman/ Prakarya &amp; KWU</t>
  </si>
  <si>
    <t>155 223 3111</t>
  </si>
  <si>
    <t>800/2238/Disdikbud-Ia/ 2017</t>
  </si>
  <si>
    <t>Herlina Wati</t>
  </si>
  <si>
    <t>6403055412850001</t>
  </si>
  <si>
    <t>0546-7636-6430-0023</t>
  </si>
  <si>
    <t>Jl. Padat Karya No. 62, Kel. Bugis, Tg. Redeb</t>
  </si>
  <si>
    <t>085250621444</t>
  </si>
  <si>
    <t>lhiena86@gmail.com</t>
  </si>
  <si>
    <t>800/138/Disdik-ab/TGT</t>
  </si>
  <si>
    <t>Marhumah</t>
  </si>
  <si>
    <t>As'ad Fajardin</t>
  </si>
  <si>
    <t>722665452727000</t>
  </si>
  <si>
    <t>Akuntansi</t>
  </si>
  <si>
    <t>006 226 3334</t>
  </si>
  <si>
    <t>800/2237/Disdikbud-Ia/ 2017</t>
  </si>
  <si>
    <t>Dwi Ayoe Lestari</t>
  </si>
  <si>
    <t>6403094708900001</t>
  </si>
  <si>
    <t>5149-7686-6930-0003</t>
  </si>
  <si>
    <t>Jl. Kandang Muntik, Teluk Bayur</t>
  </si>
  <si>
    <t>081347621990</t>
  </si>
  <si>
    <t>ayoe.manis79@gmail.com</t>
  </si>
  <si>
    <t>800/364/Disdik-Kab/TGT</t>
  </si>
  <si>
    <t>Purnamawati</t>
  </si>
  <si>
    <t>Didik Purnomo, S.Sos</t>
  </si>
  <si>
    <t>721517886727000</t>
  </si>
  <si>
    <t>SMA / Sederajat</t>
  </si>
  <si>
    <t>155 223 2778</t>
  </si>
  <si>
    <t>800/2239/Disdikbud-Ia/ 2017</t>
  </si>
  <si>
    <t>Julailah</t>
  </si>
  <si>
    <t>6403065905920001</t>
  </si>
  <si>
    <t>Jl. Limunjan, Gg. Kaliraya, Sambaliung</t>
  </si>
  <si>
    <t>08534577302</t>
  </si>
  <si>
    <t>Ellazahratuljannah@yahoo.co.id</t>
  </si>
  <si>
    <t>821.1/395/Disdik-Kab/Dikdas/2013</t>
  </si>
  <si>
    <t>Kasmawati</t>
  </si>
  <si>
    <t>Aminuddin, S.Pd, M.Pd</t>
  </si>
  <si>
    <t>722665247727000</t>
  </si>
  <si>
    <t>155 200 9335</t>
  </si>
  <si>
    <t>800/2236/Disdikbud-Ia/ 2017</t>
  </si>
  <si>
    <t>Amir</t>
  </si>
  <si>
    <t>6403052212700001</t>
  </si>
  <si>
    <t>8554-7486-5120-0033</t>
  </si>
  <si>
    <t>Jl. Durian III Gg. Padang, No. 038, Tg. Redeb</t>
  </si>
  <si>
    <t>081347337518</t>
  </si>
  <si>
    <t>amirsatpam@gmail.com</t>
  </si>
  <si>
    <t>800/223/Disdik-Kab/TGT</t>
  </si>
  <si>
    <t>Annay</t>
  </si>
  <si>
    <t>Yuli Kusrini</t>
  </si>
  <si>
    <t>721517845727000</t>
  </si>
  <si>
    <t>Perdagangan</t>
  </si>
  <si>
    <t>155 223 2794</t>
  </si>
  <si>
    <t>800/2240/Disdikbud-Ia/ 2017</t>
  </si>
  <si>
    <t>Setyo Wahyono</t>
  </si>
  <si>
    <t>Banyu Wangi</t>
  </si>
  <si>
    <t>6403050608820004</t>
  </si>
  <si>
    <t>Jl. Kedaung, Gg. Borneo 3, Kel. Sei. Bedungun, Kec. Tg. Redeb</t>
  </si>
  <si>
    <t>081347010548</t>
  </si>
  <si>
    <t>setyowahyono82@gmail.com</t>
  </si>
  <si>
    <t>800/414/Disdik-Kab/2009</t>
  </si>
  <si>
    <t>Sujinah</t>
  </si>
  <si>
    <t>Anik Nurohmah</t>
  </si>
  <si>
    <t>721517530727000</t>
  </si>
  <si>
    <t>155 200 9360</t>
  </si>
  <si>
    <t>SMA Negeri 8 Berau</t>
  </si>
  <si>
    <t>Dwi Zayanti</t>
  </si>
  <si>
    <t>S. Pd</t>
  </si>
  <si>
    <t>Pasuruan</t>
  </si>
  <si>
    <t>6403085312860001</t>
  </si>
  <si>
    <t>Jl. Majahaba</t>
  </si>
  <si>
    <t>04</t>
  </si>
  <si>
    <t>Biduk-Biduk</t>
  </si>
  <si>
    <t>BIDUK-BIDUK</t>
  </si>
  <si>
    <t>081346280186</t>
  </si>
  <si>
    <t>dwizy13@gmail.com</t>
  </si>
  <si>
    <t>800/129/SMAN 8 B/I/2010</t>
  </si>
  <si>
    <t>Indah Purwiyanti</t>
  </si>
  <si>
    <t>Muhammad Sodikin</t>
  </si>
  <si>
    <t>198609112009041002</t>
  </si>
  <si>
    <t>1 Oktober 2010</t>
  </si>
  <si>
    <t>70.653.228.0-727.000</t>
  </si>
  <si>
    <t>Kepala Lab Fisika/Wali Kelas/Ekskul OSN</t>
  </si>
  <si>
    <t>Biologi dan Fisika</t>
  </si>
  <si>
    <t>0062332336</t>
  </si>
  <si>
    <t>AH.Yani Handoko</t>
  </si>
  <si>
    <t>S.Pd.I</t>
  </si>
  <si>
    <t>Tanjung Batu</t>
  </si>
  <si>
    <t>6403050709810004</t>
  </si>
  <si>
    <t>0239759662200023</t>
  </si>
  <si>
    <t>Jl. Pemuda</t>
  </si>
  <si>
    <t>082254820281</t>
  </si>
  <si>
    <t>ahyanihandoko1@gmail.com</t>
  </si>
  <si>
    <t>832.1/159/VIII-SMPN3BB/PH/II/2008</t>
  </si>
  <si>
    <t>Rusni</t>
  </si>
  <si>
    <t>55.491.714.6-727.000</t>
  </si>
  <si>
    <t>Pembina Eskul Pramuka/Eskul Tari/Eskul Kriya</t>
  </si>
  <si>
    <t>Bhs. Inggris, Mulok dan Prakarya</t>
  </si>
  <si>
    <t>AH. Yani Handoko</t>
  </si>
  <si>
    <t>0062332158</t>
  </si>
  <si>
    <t>Ropika</t>
  </si>
  <si>
    <t>6403085607840001</t>
  </si>
  <si>
    <t>0048762664300033</t>
  </si>
  <si>
    <t>081347576131</t>
  </si>
  <si>
    <t>ropika.syafiq@gmail.com</t>
  </si>
  <si>
    <t>814/184/VIII-SMP 1 BB/I/2004</t>
  </si>
  <si>
    <t>2 Januari 2004</t>
  </si>
  <si>
    <t>Syahroni</t>
  </si>
  <si>
    <t>66.313.311.4-727.000</t>
  </si>
  <si>
    <t>0068330050</t>
  </si>
  <si>
    <t>Herni Jaya</t>
  </si>
  <si>
    <t>Sul-Sel</t>
  </si>
  <si>
    <t>6403084102880001</t>
  </si>
  <si>
    <t>Jl. Pendidikan</t>
  </si>
  <si>
    <t>03</t>
  </si>
  <si>
    <t>082254585252</t>
  </si>
  <si>
    <t>princescha88@gmail.com</t>
  </si>
  <si>
    <t>800/424/Disdik-Kab/2009</t>
  </si>
  <si>
    <t>01 Agustus 2009</t>
  </si>
  <si>
    <t>KepalaDinas</t>
  </si>
  <si>
    <t>Salmia</t>
  </si>
  <si>
    <t>Moh. Najib</t>
  </si>
  <si>
    <t>19830114 2009 04 1 002</t>
  </si>
  <si>
    <t>1 Maret 2011</t>
  </si>
  <si>
    <t>66.314.755.1-727.000</t>
  </si>
  <si>
    <t>0068330017</t>
  </si>
  <si>
    <t>Revi Hamdani</t>
  </si>
  <si>
    <t xml:space="preserve">12 Desember 1985  </t>
  </si>
  <si>
    <t>6403081212850001</t>
  </si>
  <si>
    <t>5758160348982625</t>
  </si>
  <si>
    <t>JL. PENDIDIKAN</t>
  </si>
  <si>
    <t>081346303523</t>
  </si>
  <si>
    <t>revi.junior 10@gmail.com</t>
  </si>
  <si>
    <t>800/403/Disdik - Kab /2009</t>
  </si>
  <si>
    <t>Maimunah</t>
  </si>
  <si>
    <t>Jariah</t>
  </si>
  <si>
    <t>PTT</t>
  </si>
  <si>
    <t>66.310.063.4-727.000</t>
  </si>
  <si>
    <t>REVI HAMDANI</t>
  </si>
  <si>
    <t>0062334029</t>
  </si>
  <si>
    <t>Fahruddin Hatta</t>
  </si>
  <si>
    <t>Biduk-Bidik</t>
  </si>
  <si>
    <t>27/09/1993</t>
  </si>
  <si>
    <t>27 September 1993</t>
  </si>
  <si>
    <t>6403082709930001</t>
  </si>
  <si>
    <t>JL. MAJAHABA</t>
  </si>
  <si>
    <t>085350008385</t>
  </si>
  <si>
    <t>814/021/SMA 8 BR/ KEPSEK</t>
  </si>
  <si>
    <t>Fatmawati</t>
  </si>
  <si>
    <t>Sariyanti</t>
  </si>
  <si>
    <t>FAHRUDDIN HATTA</t>
  </si>
  <si>
    <t>1192033523</t>
  </si>
  <si>
    <t>Lianita Primasari</t>
  </si>
  <si>
    <t>S.Pd.</t>
  </si>
  <si>
    <t>Gunung Kidul</t>
  </si>
  <si>
    <t>6403086807870001</t>
  </si>
  <si>
    <t>Jl. Belimbing</t>
  </si>
  <si>
    <t>02</t>
  </si>
  <si>
    <t>085250348209</t>
  </si>
  <si>
    <t>lianita2887@gmail.com</t>
  </si>
  <si>
    <t>800/058/SMAN 8 B/I/2011</t>
  </si>
  <si>
    <t>1 Januari 2011</t>
  </si>
  <si>
    <t>Supriyati</t>
  </si>
  <si>
    <t>Hasman, S.Pd.</t>
  </si>
  <si>
    <t>19860408 201001 1 011</t>
  </si>
  <si>
    <t>1 Januari 2012</t>
  </si>
  <si>
    <t>66.314.935.9-727.000</t>
  </si>
  <si>
    <t>0012831382</t>
  </si>
  <si>
    <t>Nurul Waqiah</t>
  </si>
  <si>
    <t>6403087004880001</t>
  </si>
  <si>
    <t>085250638516</t>
  </si>
  <si>
    <t>rumaishamilhan34@gmail.com</t>
  </si>
  <si>
    <t>814/009/SMAN 8 BR/Kepsek</t>
  </si>
  <si>
    <t>3 Januari 2015</t>
  </si>
  <si>
    <t>Norjannah</t>
  </si>
  <si>
    <t>Irsan</t>
  </si>
  <si>
    <t>Sopir</t>
  </si>
  <si>
    <t>46.038.583.4-727.000</t>
  </si>
  <si>
    <t>Pendidikan Bahasa Indonesia</t>
  </si>
  <si>
    <t>Wali Kelas/Ekskul teater/Ekskul Puisi</t>
  </si>
  <si>
    <t>0062331615</t>
  </si>
  <si>
    <t>Chairani</t>
  </si>
  <si>
    <t>6403055608900001</t>
  </si>
  <si>
    <t>jl. Makarti</t>
  </si>
  <si>
    <t>Suka Murya</t>
  </si>
  <si>
    <t>082158026810</t>
  </si>
  <si>
    <t>chairani.ihay@gmail.com</t>
  </si>
  <si>
    <t>814/012/SMAN 8 BR/Kepsek</t>
  </si>
  <si>
    <t>Maya Sari</t>
  </si>
  <si>
    <t>Guru Honorer</t>
  </si>
  <si>
    <t>72.088.570.6-727.000</t>
  </si>
  <si>
    <t>Pendidikan Sosiologi Antropologi</t>
  </si>
  <si>
    <t>Wali Kelas/Eskul Film Pendek</t>
  </si>
  <si>
    <t>Sosiologi</t>
  </si>
  <si>
    <t>0062332352</t>
  </si>
  <si>
    <t>2692</t>
  </si>
  <si>
    <t>Rusnawati</t>
  </si>
  <si>
    <t xml:space="preserve">Teluk Sulaiaman </t>
  </si>
  <si>
    <t>02/13/1988</t>
  </si>
  <si>
    <t>6403085302880000</t>
  </si>
  <si>
    <t xml:space="preserve">Islam </t>
  </si>
  <si>
    <t xml:space="preserve">Jl. Majahaba </t>
  </si>
  <si>
    <t xml:space="preserve">Biduk-Biduk </t>
  </si>
  <si>
    <t>081347628716</t>
  </si>
  <si>
    <t>andien628@gmail.com</t>
  </si>
  <si>
    <t>800/470/SMAN 8 BR/Kepsek</t>
  </si>
  <si>
    <t>01 Juli 2012</t>
  </si>
  <si>
    <t>Nafisah</t>
  </si>
  <si>
    <t>Misykatul Andy</t>
  </si>
  <si>
    <t xml:space="preserve">Karyawan Swasta </t>
  </si>
  <si>
    <t>66.314.886.4-727.000</t>
  </si>
  <si>
    <t xml:space="preserve">Pendidikan Seni Rupa </t>
  </si>
  <si>
    <t xml:space="preserve">Seni Budaya </t>
  </si>
  <si>
    <t xml:space="preserve">Talisayan </t>
  </si>
  <si>
    <t>Rusnawati, S.Pd</t>
  </si>
  <si>
    <t>Hafsah Umar</t>
  </si>
  <si>
    <t>6403035009900001</t>
  </si>
  <si>
    <t>JL. STASIUN</t>
  </si>
  <si>
    <t>011</t>
  </si>
  <si>
    <t>085347365136</t>
  </si>
  <si>
    <t>hafsahumar01@gmail.com</t>
  </si>
  <si>
    <t>421.3/103/SMAN 4/III/2011</t>
  </si>
  <si>
    <t>Siti Rahma</t>
  </si>
  <si>
    <t>Sugianto</t>
  </si>
  <si>
    <t>Honorer</t>
  </si>
  <si>
    <t>807314737-727000</t>
  </si>
  <si>
    <t>Ilmu Pengetahuan Alam</t>
  </si>
  <si>
    <t>0062332361</t>
  </si>
  <si>
    <t>6403090909770001</t>
  </si>
  <si>
    <t>085247933065</t>
  </si>
  <si>
    <t>sugiantoaja099@gmail.com</t>
  </si>
  <si>
    <t>814/019/SMAN 8 BR/Kepsek</t>
  </si>
  <si>
    <t>Mariatun</t>
  </si>
  <si>
    <t>0062334827</t>
  </si>
  <si>
    <t>5349</t>
  </si>
  <si>
    <t>Hairunnisa</t>
  </si>
  <si>
    <t>6403085901920001</t>
  </si>
  <si>
    <t>Jl. Kallak</t>
  </si>
  <si>
    <t>01</t>
  </si>
  <si>
    <t>085246811446</t>
  </si>
  <si>
    <t>ichahairun0119@gmail.com</t>
  </si>
  <si>
    <t>814/024/SMAN 8 BR/Kepsek</t>
  </si>
  <si>
    <t>03 Oktober 2015</t>
  </si>
  <si>
    <t>Ernah</t>
  </si>
  <si>
    <t>80.731.483.6-727.000</t>
  </si>
  <si>
    <t>Pendidikan Kewarganegaraan</t>
  </si>
  <si>
    <t>Wali Kelas / Ekskul Vocal</t>
  </si>
  <si>
    <t>PKn</t>
  </si>
  <si>
    <t>0062332379</t>
  </si>
  <si>
    <t>Siti Faujiah</t>
  </si>
  <si>
    <t>Sangkulirang</t>
  </si>
  <si>
    <t>6403084710850000</t>
  </si>
  <si>
    <t>8339763664300083</t>
  </si>
  <si>
    <t>Labuan Kelambu</t>
  </si>
  <si>
    <t>001</t>
  </si>
  <si>
    <t>082354768345</t>
  </si>
  <si>
    <t>sitifaujiah.sf@gmail.com</t>
  </si>
  <si>
    <t>800/400/Disdik-Kab/2009</t>
  </si>
  <si>
    <t>Disdik Kabupaten Berau</t>
  </si>
  <si>
    <t>Rusdiana</t>
  </si>
  <si>
    <t>Abdul Rahman</t>
  </si>
  <si>
    <t>66.314.826.0-727.000</t>
  </si>
  <si>
    <t>Sekretaris</t>
  </si>
  <si>
    <t>Kepala Perpustakaan/Wali Kelas</t>
  </si>
  <si>
    <t>0062332557</t>
  </si>
  <si>
    <t>Noverita Rahmadiani</t>
  </si>
  <si>
    <t>A.Ma</t>
  </si>
  <si>
    <t>Poso</t>
  </si>
  <si>
    <t>6403087010710001</t>
  </si>
  <si>
    <t>9362749652300023</t>
  </si>
  <si>
    <t xml:space="preserve">Jl. Manunggal 87 </t>
  </si>
  <si>
    <t>081253784216</t>
  </si>
  <si>
    <t>noverita.rahmadiani10@gamil.com</t>
  </si>
  <si>
    <t>800/011/SMAN 8 B/VIII/2009</t>
  </si>
  <si>
    <t>Painam. M Saleh</t>
  </si>
  <si>
    <t>Salim Yusuf</t>
  </si>
  <si>
    <t>73.257.075.9-727.000</t>
  </si>
  <si>
    <t>D2</t>
  </si>
  <si>
    <t>Tarbiyah</t>
  </si>
  <si>
    <t>Pembina Ekskul Rohis</t>
  </si>
  <si>
    <t>Bahasa Arab</t>
  </si>
  <si>
    <t>Noverita Rahmadiani.CH</t>
  </si>
  <si>
    <t>0062332549</t>
  </si>
  <si>
    <t>Muchlis AR</t>
  </si>
  <si>
    <t xml:space="preserve">12 Februari 1957  </t>
  </si>
  <si>
    <t>6403080212580001</t>
  </si>
  <si>
    <t>081341468433</t>
  </si>
  <si>
    <t>814/057/SMAN 8 B/I/2010</t>
  </si>
  <si>
    <t>2 Januari 2010</t>
  </si>
  <si>
    <t>Haminong</t>
  </si>
  <si>
    <t>Nurmiati</t>
  </si>
  <si>
    <t>Mengurus Rumah tangga</t>
  </si>
  <si>
    <t>SMP/ Sederajat</t>
  </si>
  <si>
    <t>0062334932</t>
  </si>
  <si>
    <t>BERAU</t>
  </si>
  <si>
    <t>SMA Negeri 9 Berau</t>
  </si>
  <si>
    <t xml:space="preserve">Ari Zona </t>
  </si>
  <si>
    <t>Ma.payung-payung</t>
  </si>
  <si>
    <t>02/11/1985</t>
  </si>
  <si>
    <t>6403114211860002</t>
  </si>
  <si>
    <t>Jln. RAYA BATU PAYUNG</t>
  </si>
  <si>
    <t>PAYUNG-PAYUNG</t>
  </si>
  <si>
    <t>MARATUA</t>
  </si>
  <si>
    <t>085246399745</t>
  </si>
  <si>
    <t>arizona12@yahoo.com</t>
  </si>
  <si>
    <t>832.3/091.a-SK/disdik-kab/Dikmen/VI/2011</t>
  </si>
  <si>
    <t>30/6/2011</t>
  </si>
  <si>
    <t>Dinas Pendidikan Kabupaten</t>
  </si>
  <si>
    <t>HARTATI</t>
  </si>
  <si>
    <t>EDI SUSANTO</t>
  </si>
  <si>
    <t>NELAYAN</t>
  </si>
  <si>
    <t>66.468.323.2-727.000</t>
  </si>
  <si>
    <t>EKONOMI MANAJEMEN</t>
  </si>
  <si>
    <t>KEPALA TATA USAHA, UKS, PEMBINA BOLA VOLIPUTRI</t>
  </si>
  <si>
    <t>ADMINISTRASI SEKOLAH</t>
  </si>
  <si>
    <t>ARI ZONA</t>
  </si>
  <si>
    <t>0062404108</t>
  </si>
  <si>
    <t>Tuminah</t>
  </si>
  <si>
    <t>6403114105860001</t>
  </si>
  <si>
    <t>77381</t>
  </si>
  <si>
    <t>085212536083</t>
  </si>
  <si>
    <t>Tuminahakuntansi@yahoo.co.id</t>
  </si>
  <si>
    <t>422/03/SMA.N.9/VII/2011</t>
  </si>
  <si>
    <t>ERIANI</t>
  </si>
  <si>
    <t>SYAFRANI</t>
  </si>
  <si>
    <t>58.624.220.8-727.000</t>
  </si>
  <si>
    <t>AKUNTANSI</t>
  </si>
  <si>
    <t>HUBUNGAN KEMASYARAKATAN, BENDAHARA BOSDA</t>
  </si>
  <si>
    <t>TUMINAH</t>
  </si>
  <si>
    <t>0062403659</t>
  </si>
  <si>
    <t>Lili Yanti</t>
  </si>
  <si>
    <t>16/12/1984</t>
  </si>
  <si>
    <t>6403115612840001</t>
  </si>
  <si>
    <t>082159778320</t>
  </si>
  <si>
    <t>liliyanti009@gmail.com</t>
  </si>
  <si>
    <t>DAHNIA</t>
  </si>
  <si>
    <t>KURNIAWANSYAH</t>
  </si>
  <si>
    <t>66.468.109.5-727.000</t>
  </si>
  <si>
    <t>PETUGAS KEBERSIHAN</t>
  </si>
  <si>
    <t>LILI YANTI</t>
  </si>
  <si>
    <t>0062404124</t>
  </si>
  <si>
    <t>Herlina Parrangan</t>
  </si>
  <si>
    <t>p</t>
  </si>
  <si>
    <t>SESEAN</t>
  </si>
  <si>
    <t>6403034610970001</t>
  </si>
  <si>
    <t>KRISTEN</t>
  </si>
  <si>
    <t>082153605617</t>
  </si>
  <si>
    <t>herlinaparrangan@gmail.com</t>
  </si>
  <si>
    <t>Martha datu</t>
  </si>
  <si>
    <t>Matius rerung</t>
  </si>
  <si>
    <t>TUKANG KEBUN</t>
  </si>
  <si>
    <t>HERLINA PARRANGAN</t>
  </si>
  <si>
    <t>0062404141</t>
  </si>
  <si>
    <t>Sujatmono</t>
  </si>
  <si>
    <t>28/10/1974</t>
  </si>
  <si>
    <t>6403112810740001</t>
  </si>
  <si>
    <t>085248521608</t>
  </si>
  <si>
    <t>Sujatmono.maratua@gmail,com</t>
  </si>
  <si>
    <t>422/04/SMA.N.9/1/2011</t>
  </si>
  <si>
    <t>NORSIAH</t>
  </si>
  <si>
    <t>IRAYANI</t>
  </si>
  <si>
    <t>PENJAGA SEKOLAH</t>
  </si>
  <si>
    <t>SUJATMONO</t>
  </si>
  <si>
    <t>0062404776</t>
  </si>
  <si>
    <t>Dedi Iswanto</t>
  </si>
  <si>
    <t>Payung-Payung</t>
  </si>
  <si>
    <t>6403112112900001</t>
  </si>
  <si>
    <t>081212577011</t>
  </si>
  <si>
    <t>dedydelfa@gmail.com</t>
  </si>
  <si>
    <t>422/091/SMA.N.9/VII/2014</t>
  </si>
  <si>
    <t>WETI</t>
  </si>
  <si>
    <t>HENNI SANDRAYANI</t>
  </si>
  <si>
    <t>75.924.160.7-727.000</t>
  </si>
  <si>
    <t>PPKN</t>
  </si>
  <si>
    <t>HUMAS, WALI KELAS, GURU PIKET, OPRATOR, PEMBINA SEPAK BOLA, PEMBINA BOLA VOLI</t>
  </si>
  <si>
    <t>PPKN, PJOK</t>
  </si>
  <si>
    <t>PENDIDIKAN KEWARGANEGARAAN ( PPKN )</t>
  </si>
  <si>
    <t>DEDI ISWANTO</t>
  </si>
  <si>
    <t>0062404175</t>
  </si>
  <si>
    <t>Husnan</t>
  </si>
  <si>
    <t>Pringga baya</t>
  </si>
  <si>
    <t>28/12/1987</t>
  </si>
  <si>
    <t>6403042812870001</t>
  </si>
  <si>
    <t>085238759219</t>
  </si>
  <si>
    <t>Husnan006sman9@gmail.com</t>
  </si>
  <si>
    <t>814.1.03/053/Disdik-kab/Dikmen</t>
  </si>
  <si>
    <t>Mardiah</t>
  </si>
  <si>
    <t>NOVITA SARI</t>
  </si>
  <si>
    <t>66.461.559.8-727.000</t>
  </si>
  <si>
    <t>MIPA FISIKA</t>
  </si>
  <si>
    <t>WAKA KESISWAAN KEPALA LABORATORIUM, GURU PIKET, PEMBINA OSIS, PEMBINA UKS.</t>
  </si>
  <si>
    <t>FISIKA , KIMIA, TIK</t>
  </si>
  <si>
    <t>PENDIDIKAN FISIKA</t>
  </si>
  <si>
    <t>HUSNAN</t>
  </si>
  <si>
    <t>0062404132</t>
  </si>
  <si>
    <t>MATIUS RERUNG</t>
  </si>
  <si>
    <t>TO'YASA AKUNG</t>
  </si>
  <si>
    <t>6403031006840001</t>
  </si>
  <si>
    <t>081258007712</t>
  </si>
  <si>
    <t>matiusrerung6@gmail.com</t>
  </si>
  <si>
    <t>832.3/094-SK/DISDIK-Kab/Dikmen/VI/2011</t>
  </si>
  <si>
    <t>BOKKO'</t>
  </si>
  <si>
    <t>66.468.186.3.727,000</t>
  </si>
  <si>
    <t>BAHASA DAN SASTRA INDONESIA</t>
  </si>
  <si>
    <t>WAKIL KEPALA SEKOLAH ,      GURU PIKET</t>
  </si>
  <si>
    <t>BAHASA  INDONESIA</t>
  </si>
  <si>
    <t>PENDIDIKAN BAHASA INDONESIA</t>
  </si>
  <si>
    <t>0062404159</t>
  </si>
  <si>
    <t>Risca Indah Sari Valentine</t>
  </si>
  <si>
    <t>6403055111920002</t>
  </si>
  <si>
    <t>Maratua BoheSilian</t>
  </si>
  <si>
    <t>BOHESILIAN</t>
  </si>
  <si>
    <t>085247086317</t>
  </si>
  <si>
    <t>valentine_risca@yahoo.com</t>
  </si>
  <si>
    <t>422/14/SMA.N.9/II/2015</t>
  </si>
  <si>
    <t>20/2/2015</t>
  </si>
  <si>
    <t>ISMIATI</t>
  </si>
  <si>
    <t>BELUM KAWIN</t>
  </si>
  <si>
    <t>75.924.158.1-727.000</t>
  </si>
  <si>
    <t>MATEMATIKA</t>
  </si>
  <si>
    <t>WALI KELAS XI, GURU PIKET</t>
  </si>
  <si>
    <t xml:space="preserve">TARAKAN </t>
  </si>
  <si>
    <t>RISCA INDAH SARI VALENTINE</t>
  </si>
  <si>
    <t>0057704187</t>
  </si>
  <si>
    <t>Werdianto</t>
  </si>
  <si>
    <t>Maratua payung-payung</t>
  </si>
  <si>
    <t>23/11/1984</t>
  </si>
  <si>
    <t>6403112311840001</t>
  </si>
  <si>
    <t>081252711117</t>
  </si>
  <si>
    <t>Werdhywewen@yahoo.com</t>
  </si>
  <si>
    <t>422/032/SMA.N.9/II/2003</t>
  </si>
  <si>
    <t>Molek</t>
  </si>
  <si>
    <t>16.311.820.1-727.000</t>
  </si>
  <si>
    <t>BAHASA INGGRIS</t>
  </si>
  <si>
    <t>WAKIL  KURIKULUM</t>
  </si>
  <si>
    <t>BAHASA INGGRIS EKONOMI</t>
  </si>
  <si>
    <t>WERDIANTO</t>
  </si>
  <si>
    <t>0062404329</t>
  </si>
  <si>
    <t>M. Rifai</t>
  </si>
  <si>
    <t>BULUNGAN</t>
  </si>
  <si>
    <t>7372030510830000</t>
  </si>
  <si>
    <t>1747761664200002</t>
  </si>
  <si>
    <t>081354465457</t>
  </si>
  <si>
    <t>Frifai120@gmail.com</t>
  </si>
  <si>
    <t>KADARIA</t>
  </si>
  <si>
    <t>1747761664200000</t>
  </si>
  <si>
    <t>AGAMA ISLAM</t>
  </si>
  <si>
    <t>PRAMUKA</t>
  </si>
  <si>
    <t>BAHASA ARAB ,Sosiologi</t>
  </si>
  <si>
    <t>PENDIDIKAN AGAMA ISLAM</t>
  </si>
  <si>
    <t>M.RIFAI</t>
  </si>
  <si>
    <t>0062404302</t>
  </si>
  <si>
    <t>Kuraisyihab</t>
  </si>
  <si>
    <t>S,Pd</t>
  </si>
  <si>
    <t>LADIANTA</t>
  </si>
  <si>
    <t>7402350401910000</t>
  </si>
  <si>
    <t>081342674541</t>
  </si>
  <si>
    <t>Kurasyihab@.com</t>
  </si>
  <si>
    <t>422/76/SMA.N.9/2015</t>
  </si>
  <si>
    <t>27/7/2015</t>
  </si>
  <si>
    <t>MARNI</t>
  </si>
  <si>
    <t>SEJARAH</t>
  </si>
  <si>
    <t>SAPRAS</t>
  </si>
  <si>
    <t>SEJARAH EKONOMI</t>
  </si>
  <si>
    <t>PENDIDIKAN SEJARAH INDONESIA</t>
  </si>
  <si>
    <t>KURAISYIHAB</t>
  </si>
  <si>
    <t>0062404311</t>
  </si>
  <si>
    <t>Yohanes Karapa</t>
  </si>
  <si>
    <t>TO 'YASA AKUNG</t>
  </si>
  <si>
    <t>6471040408750009</t>
  </si>
  <si>
    <t>085349808784</t>
  </si>
  <si>
    <t>Yohaneskarapa4@gmail.com</t>
  </si>
  <si>
    <t>314.1.03/177 disdik-kab/dikmem</t>
  </si>
  <si>
    <t>MARIA LOBO</t>
  </si>
  <si>
    <t>DORCE MELLOLO</t>
  </si>
  <si>
    <t>664614930727000</t>
  </si>
  <si>
    <t>BIOLOGI</t>
  </si>
  <si>
    <t>GURU PIKET</t>
  </si>
  <si>
    <t>BIOLOGI GEOGRAFI</t>
  </si>
  <si>
    <t>PENDIDIDKAN BIOLOGI</t>
  </si>
  <si>
    <t>YOHANES KARAPA</t>
  </si>
  <si>
    <t>0062404167</t>
  </si>
  <si>
    <t>Ika Amelia</t>
  </si>
  <si>
    <t>KALTIM</t>
  </si>
  <si>
    <t>14/2/1993</t>
  </si>
  <si>
    <t>7371125402930000</t>
  </si>
  <si>
    <t>085396470525</t>
  </si>
  <si>
    <t>Ikaamelia1993@gmail.com</t>
  </si>
  <si>
    <t>422/75/SMA.N.9/2015</t>
  </si>
  <si>
    <t>MULIANA</t>
  </si>
  <si>
    <t>BIMBIMGAN KONGSELING</t>
  </si>
  <si>
    <t>BIMBINGAN KONSELING</t>
  </si>
  <si>
    <t>BK,                          SENI BUDAYA</t>
  </si>
  <si>
    <t>PENDIDIKAN BIMBINGAN KONSELING</t>
  </si>
  <si>
    <t>IKA AMELIA</t>
  </si>
  <si>
    <t>0062404272</t>
  </si>
  <si>
    <t>SMA Negeri 10 Berau</t>
  </si>
  <si>
    <t>Agil Syahrir</t>
  </si>
  <si>
    <t>Donggala</t>
  </si>
  <si>
    <t>1990-02-12</t>
  </si>
  <si>
    <t>12 Februari 1990</t>
  </si>
  <si>
    <t>7203081202900007</t>
  </si>
  <si>
    <t>Tanjung Perepat</t>
  </si>
  <si>
    <t>Kec. Biduk Biduk</t>
  </si>
  <si>
    <t>082157503555</t>
  </si>
  <si>
    <t>aglsyarir@gmail.com</t>
  </si>
  <si>
    <t>800/473/SMA N BR/Kepsek</t>
  </si>
  <si>
    <t>2014-05-19</t>
  </si>
  <si>
    <t>Rosina</t>
  </si>
  <si>
    <t>Noor Baiya</t>
  </si>
  <si>
    <t>Pendidikan Agama Islam, Pendidikan Agama Islam dan Budi Pekerti, Bahasa Arab</t>
  </si>
  <si>
    <t>KCP Biduk Biduk</t>
  </si>
  <si>
    <t>0062332344</t>
  </si>
  <si>
    <t>Agus Muhammad Aris</t>
  </si>
  <si>
    <t xml:space="preserve">S.Pd  </t>
  </si>
  <si>
    <t>Lobang Kelatak</t>
  </si>
  <si>
    <t>1985-05-28</t>
  </si>
  <si>
    <t>28 Mei 1985</t>
  </si>
  <si>
    <t>3571022805870009</t>
  </si>
  <si>
    <t>5758160329139064</t>
  </si>
  <si>
    <t>Jalan Utama</t>
  </si>
  <si>
    <t>Kec. Batu Putih</t>
  </si>
  <si>
    <t>081224153846</t>
  </si>
  <si>
    <t>Agusmuhammadaris85@gmail.com</t>
  </si>
  <si>
    <t>814. 1. 03/001/Disdik-Kab/Dikmen</t>
  </si>
  <si>
    <t>2013-01-02</t>
  </si>
  <si>
    <t>Asiah</t>
  </si>
  <si>
    <t>Intan Prihatini</t>
  </si>
  <si>
    <t>462275231727000</t>
  </si>
  <si>
    <t>Bahasa Inggris, Sejarah</t>
  </si>
  <si>
    <t>KCP Batu Putih</t>
  </si>
  <si>
    <t>1712012958</t>
  </si>
  <si>
    <t>Ibrahim</t>
  </si>
  <si>
    <t>Sinjai</t>
  </si>
  <si>
    <t>1986-11-11</t>
  </si>
  <si>
    <t>6409031111860006</t>
  </si>
  <si>
    <t>5443764665200013</t>
  </si>
  <si>
    <t>Jl. Pelabuhan</t>
  </si>
  <si>
    <t>Batu Putih</t>
  </si>
  <si>
    <t>085346425511</t>
  </si>
  <si>
    <t>ibramrais@gmail.com</t>
  </si>
  <si>
    <t>832.3/119-SK/Disdik-Kab/Dikmen/VI/2011</t>
  </si>
  <si>
    <t>2011-07-01</t>
  </si>
  <si>
    <t>Aisyah</t>
  </si>
  <si>
    <t>833803786727000</t>
  </si>
  <si>
    <t>Wakil Kepala Sekolah Sarpras, Pembina Ekstrakurikuler</t>
  </si>
  <si>
    <t>Pendidikan Pancasila dan Kewarganegaraan, PERTANIAN, Biologi, Pendidikan Kewarganegaraan</t>
  </si>
  <si>
    <t>1192017854</t>
  </si>
  <si>
    <t>Ilhamdan</t>
  </si>
  <si>
    <t>Pantai Harapan</t>
  </si>
  <si>
    <t>1986-05-10</t>
  </si>
  <si>
    <t>10 Mei 1986</t>
  </si>
  <si>
    <t>6403081005860001</t>
  </si>
  <si>
    <t>pantai harapan</t>
  </si>
  <si>
    <t>085250327657</t>
  </si>
  <si>
    <t>Ilhambajau@gmail.com</t>
  </si>
  <si>
    <t>832.3/122-SK/Disdik-Kab/Dikmen/VI/2011</t>
  </si>
  <si>
    <t>arpiah</t>
  </si>
  <si>
    <t>Ekonomi, Pendidikan Jasmani, Olahraga, dan Kesehatan</t>
  </si>
  <si>
    <t>1712012966</t>
  </si>
  <si>
    <t>Imran</t>
  </si>
  <si>
    <t>Rappang</t>
  </si>
  <si>
    <t>1977-08-20</t>
  </si>
  <si>
    <t>20 Agustus 1977</t>
  </si>
  <si>
    <t>7314052008770002</t>
  </si>
  <si>
    <t>Jl. Kampung Bugis</t>
  </si>
  <si>
    <t>082344999767</t>
  </si>
  <si>
    <t>imran.rappang@gmail.com</t>
  </si>
  <si>
    <t>821/057/SMAN10/VI/2015</t>
  </si>
  <si>
    <t>2015-07-01</t>
  </si>
  <si>
    <t>Marawiah</t>
  </si>
  <si>
    <t>Kiki Awaliyah</t>
  </si>
  <si>
    <t>Pendidikan TI Kom</t>
  </si>
  <si>
    <t>Wakil Kepala Sekolah Kesiswaan</t>
  </si>
  <si>
    <t>Teknologi Informasi dan Komunikasi, Bahasa Arab, BAHASA ARAB</t>
  </si>
  <si>
    <t>1712013059</t>
  </si>
  <si>
    <t>Lutwiyani</t>
  </si>
  <si>
    <t>1989-06-22</t>
  </si>
  <si>
    <t>22 Juni 1989</t>
  </si>
  <si>
    <t>3507296206890003</t>
  </si>
  <si>
    <t>Sei Bebanir Bangun</t>
  </si>
  <si>
    <t>082251784227</t>
  </si>
  <si>
    <t>luthfi.kily@gmail.com</t>
  </si>
  <si>
    <t>814.1.03/001/Disik-Kab/Dikmen</t>
  </si>
  <si>
    <t>2014-01-02</t>
  </si>
  <si>
    <t>Sarmiatun</t>
  </si>
  <si>
    <t>Pendidikan Fisika</t>
  </si>
  <si>
    <t>Kepala Perpustakaan</t>
  </si>
  <si>
    <t>Fisika, Pendidikan Kewarganegaraan</t>
  </si>
  <si>
    <t>KCP Adji Dilayas</t>
  </si>
  <si>
    <t>1558001484</t>
  </si>
  <si>
    <t>Nyai Sopiah Susanti</t>
  </si>
  <si>
    <t>1987-12-28</t>
  </si>
  <si>
    <t>28 Desember 1987</t>
  </si>
  <si>
    <t>6403096812870002</t>
  </si>
  <si>
    <t>085388663691</t>
  </si>
  <si>
    <t>nyaisopiah.susanti@gmail.com</t>
  </si>
  <si>
    <t>814.1.03/001/DISDIK-KAB/DIKMEN</t>
  </si>
  <si>
    <t>E. Sumiati</t>
  </si>
  <si>
    <t>Agus Hidayat</t>
  </si>
  <si>
    <t>Matematika (Umum), Matematika (Peminatan)</t>
  </si>
  <si>
    <t>1712012974</t>
  </si>
  <si>
    <t>Selviani</t>
  </si>
  <si>
    <t>1991-09-09</t>
  </si>
  <si>
    <t>9 September 1991</t>
  </si>
  <si>
    <t>6403084909910001</t>
  </si>
  <si>
    <t>085241636464</t>
  </si>
  <si>
    <t>selviani_spd@yahoo.co.id</t>
  </si>
  <si>
    <t>821/068/SMAN 10/IX/2014</t>
  </si>
  <si>
    <t>2014-09-01</t>
  </si>
  <si>
    <t>Maemuna</t>
  </si>
  <si>
    <t>Rusman</t>
  </si>
  <si>
    <t>Seni Budaya, SOSIOLOGI LINTAS MINAT, Sosiologi</t>
  </si>
  <si>
    <t>1712012982</t>
  </si>
  <si>
    <t>Siti Nur Minayah Anggeraeni</t>
  </si>
  <si>
    <t>1991-12-21</t>
  </si>
  <si>
    <t>21 Desember 1991</t>
  </si>
  <si>
    <t>6403056112910001</t>
  </si>
  <si>
    <t>Jl. Pulau Semama Gg. Hijrah</t>
  </si>
  <si>
    <t>081347553499</t>
  </si>
  <si>
    <t>nurminayah211291@gmail.com</t>
  </si>
  <si>
    <t>Nina</t>
  </si>
  <si>
    <t>Kepala Laboratorium</t>
  </si>
  <si>
    <t>Kimia, Sejarah</t>
  </si>
  <si>
    <t>1712012991</t>
  </si>
  <si>
    <t>Syahdan Erwanto</t>
  </si>
  <si>
    <t>1993-03-20</t>
  </si>
  <si>
    <t>20 Maret 1993</t>
  </si>
  <si>
    <t>6403132003930001</t>
  </si>
  <si>
    <t>Jl. Raja Alam 2</t>
  </si>
  <si>
    <t>082351826862</t>
  </si>
  <si>
    <t>821/117/SMAN10/XII/2014</t>
  </si>
  <si>
    <t>2015-01-01</t>
  </si>
  <si>
    <t>Nurja</t>
  </si>
  <si>
    <t>Sma/Sederajat</t>
  </si>
  <si>
    <t>Ilmu Pengetahuan Sosial</t>
  </si>
  <si>
    <t>1712013997</t>
  </si>
  <si>
    <t>Asriani</t>
  </si>
  <si>
    <t>S.E</t>
  </si>
  <si>
    <t>Tabalar</t>
  </si>
  <si>
    <t>1982-06-30</t>
  </si>
  <si>
    <t>30 Juni 1982</t>
  </si>
  <si>
    <t>6403057006820002</t>
  </si>
  <si>
    <t>BATU PUTIH</t>
  </si>
  <si>
    <t>081347920077</t>
  </si>
  <si>
    <t>Efnie.ani@gmail.com@gmail.com</t>
  </si>
  <si>
    <t>832.3/116-SK/Disdik-Kab/Dikmen/VI/2011</t>
  </si>
  <si>
    <t>Azisah</t>
  </si>
  <si>
    <t>599256682727000</t>
  </si>
  <si>
    <t>Ekonomi Manajemen</t>
  </si>
  <si>
    <t>1712013008</t>
  </si>
  <si>
    <t>Saidil</t>
  </si>
  <si>
    <t>1992-08-08</t>
  </si>
  <si>
    <t>8 Agustus 1992</t>
  </si>
  <si>
    <t>6403050808920002</t>
  </si>
  <si>
    <t>Jl. Padat Karya</t>
  </si>
  <si>
    <t>085242962803</t>
  </si>
  <si>
    <t>Saidilsanipah@gmail.com</t>
  </si>
  <si>
    <t>2015-01-02</t>
  </si>
  <si>
    <t>SMK</t>
  </si>
  <si>
    <t>Peternakan</t>
  </si>
  <si>
    <t>0062403918</t>
  </si>
  <si>
    <t>SMA Negeri 11 Berau</t>
  </si>
  <si>
    <t>Agus Purwati</t>
  </si>
  <si>
    <t>SEGAYAM</t>
  </si>
  <si>
    <t>1984-08-16</t>
  </si>
  <si>
    <t>16 Agustus 1984</t>
  </si>
  <si>
    <t>6403025608840001</t>
  </si>
  <si>
    <t>5758160304572877</t>
  </si>
  <si>
    <t>JL.PULAU DEWATA I</t>
  </si>
  <si>
    <t>085322522225</t>
  </si>
  <si>
    <t>aguspurwati160884@gmail.com</t>
  </si>
  <si>
    <t>421/  /Disdik-Kab/Dikmen/VII/2012</t>
  </si>
  <si>
    <t>VERI DIANA BULAN</t>
  </si>
  <si>
    <t>MURHANI RAMLI</t>
  </si>
  <si>
    <t>66.318.915.7-727.000</t>
  </si>
  <si>
    <t>Ilmu Pengetahuan Alam (IPA)</t>
  </si>
  <si>
    <t>AGUS PURWATI</t>
  </si>
  <si>
    <t>1192033060</t>
  </si>
  <si>
    <t>Aristoteles Asmanegara</t>
  </si>
  <si>
    <t xml:space="preserve">MAGETAN             </t>
  </si>
  <si>
    <t>1988-10-07</t>
  </si>
  <si>
    <t>07 Oktober 1988</t>
  </si>
  <si>
    <t>6403020710880001</t>
  </si>
  <si>
    <t>5758160346745257</t>
  </si>
  <si>
    <t>SUMBER MULYA</t>
  </si>
  <si>
    <t>085753615541</t>
  </si>
  <si>
    <t>Aristoteles7Asmanegara7@gmail.com</t>
  </si>
  <si>
    <t>814.1.03/78/Disdik-Kab/Dikmen</t>
  </si>
  <si>
    <t>EMI SULISTYOWATI</t>
  </si>
  <si>
    <t>RAMDANIAH</t>
  </si>
  <si>
    <t>66.338.141.6-727.000</t>
  </si>
  <si>
    <t xml:space="preserve">MATEMATIKA </t>
  </si>
  <si>
    <t>ARISTOTELES ASMANEGARA</t>
  </si>
  <si>
    <t>0062308770</t>
  </si>
  <si>
    <t>Asnawir</t>
  </si>
  <si>
    <t>Bambapun</t>
  </si>
  <si>
    <t>1985-04-10</t>
  </si>
  <si>
    <t>10 April 1985</t>
  </si>
  <si>
    <t>6403021004850001</t>
  </si>
  <si>
    <t>5758160385231353</t>
  </si>
  <si>
    <t>JL.RINJANI 2</t>
  </si>
  <si>
    <t>085241227622</t>
  </si>
  <si>
    <t>nawirasmoslem@yahoo.co.id</t>
  </si>
  <si>
    <t>832.3/118-SK/Disdik-kab/Dikmen/VI/2011</t>
  </si>
  <si>
    <t>SITI MELLE</t>
  </si>
  <si>
    <t>SRI WAHYUNI</t>
  </si>
  <si>
    <t>76.222.469.9-727.000</t>
  </si>
  <si>
    <t>EKONOMI DAN SEJARAH</t>
  </si>
  <si>
    <t>ASNAWIR</t>
  </si>
  <si>
    <t>1192033094</t>
  </si>
  <si>
    <t>S.PD</t>
  </si>
  <si>
    <t>GALLUNG BODDONG</t>
  </si>
  <si>
    <t>1989-01-04</t>
  </si>
  <si>
    <t>04 Januari  1989</t>
  </si>
  <si>
    <t>6403024401890001</t>
  </si>
  <si>
    <t>5758160390318891</t>
  </si>
  <si>
    <t>BUMI JAYA</t>
  </si>
  <si>
    <t>085299549082</t>
  </si>
  <si>
    <t>aniasriani4189@gmail.com</t>
  </si>
  <si>
    <t>A.BUBI</t>
  </si>
  <si>
    <t>HERMANTO</t>
  </si>
  <si>
    <t>WIRASWASTA</t>
  </si>
  <si>
    <t>66.318.377.0-727.000</t>
  </si>
  <si>
    <t>BAHASA INDONESIA</t>
  </si>
  <si>
    <t>ASRIANI</t>
  </si>
  <si>
    <t>1192025083</t>
  </si>
  <si>
    <t>Dian Puji Astuti</t>
  </si>
  <si>
    <t xml:space="preserve">NGAWI               </t>
  </si>
  <si>
    <t>1986-10-08</t>
  </si>
  <si>
    <t>08 Oktober 1986</t>
  </si>
  <si>
    <t>3521094810860001</t>
  </si>
  <si>
    <t>8340764666300063</t>
  </si>
  <si>
    <t>085249376288</t>
  </si>
  <si>
    <t>dianpujijauza@gmail.com</t>
  </si>
  <si>
    <t>SUNARSI</t>
  </si>
  <si>
    <t>NUR HANAFI</t>
  </si>
  <si>
    <t>KARYAWAN SWASTA</t>
  </si>
  <si>
    <t>66.318.451.3-727.000</t>
  </si>
  <si>
    <t>DIAN PUJI ASTUTI</t>
  </si>
  <si>
    <t>1192033043</t>
  </si>
  <si>
    <t>Harlina</t>
  </si>
  <si>
    <t xml:space="preserve">ABBANUANGE          </t>
  </si>
  <si>
    <t>1977-07-27</t>
  </si>
  <si>
    <t>27 Juli 1977</t>
  </si>
  <si>
    <t>6403026707770001</t>
  </si>
  <si>
    <t>6059755656200053</t>
  </si>
  <si>
    <t>JL.GARUDA 2</t>
  </si>
  <si>
    <t>082353074316</t>
  </si>
  <si>
    <t>linaharlina777@gmail.com</t>
  </si>
  <si>
    <t>421/ / Disdik-Kab/Dikmen/VII/2012</t>
  </si>
  <si>
    <t>M.YUSUF</t>
  </si>
  <si>
    <t>46.214.814.9-727.000</t>
  </si>
  <si>
    <t>PAI,BAHASA ARAB DAN SBK</t>
  </si>
  <si>
    <t>HARLINA</t>
  </si>
  <si>
    <t>1192016025</t>
  </si>
  <si>
    <t>Ira Hairani</t>
  </si>
  <si>
    <t>1993-10-15</t>
  </si>
  <si>
    <t>15 Oktober 1993</t>
  </si>
  <si>
    <t>6403025510930001</t>
  </si>
  <si>
    <t>JL.RA KARTINI</t>
  </si>
  <si>
    <t>082251290178</t>
  </si>
  <si>
    <t>irasman11@gmail.com</t>
  </si>
  <si>
    <t>421/  / Disdik-Kab/Dikmen/VII/2012</t>
  </si>
  <si>
    <t>SUPARWI</t>
  </si>
  <si>
    <t>AZHAR DINATA</t>
  </si>
  <si>
    <t>66.318.839.9-727.000</t>
  </si>
  <si>
    <t>IRA HAIRANI</t>
  </si>
  <si>
    <t>1192033116</t>
  </si>
  <si>
    <t>Susila Ningsih Syamsuri</t>
  </si>
  <si>
    <t>1989-12-10</t>
  </si>
  <si>
    <t>10 Desember 1989</t>
  </si>
  <si>
    <t>6403025012890001</t>
  </si>
  <si>
    <t>5758160305686181</t>
  </si>
  <si>
    <t>JL.SOEKARNO - HATTA</t>
  </si>
  <si>
    <t>081346687092</t>
  </si>
  <si>
    <t>susilaningsihsyamsuri@gmail.com</t>
  </si>
  <si>
    <t>LILIS SURYANI</t>
  </si>
  <si>
    <t>66.318.688.0-727.000</t>
  </si>
  <si>
    <t>FISIKA</t>
  </si>
  <si>
    <t>SUSILA NINGSIH SYAMSYURI</t>
  </si>
  <si>
    <t>1192022220</t>
  </si>
  <si>
    <t>Yohanes Baleleng</t>
  </si>
  <si>
    <t>S.Ag</t>
  </si>
  <si>
    <t xml:space="preserve">LAMATUKA            </t>
  </si>
  <si>
    <t>1973-09-02</t>
  </si>
  <si>
    <t>02 September 1973</t>
  </si>
  <si>
    <t>6403020209730001</t>
  </si>
  <si>
    <t>8234751654200003</t>
  </si>
  <si>
    <t>EKA SAPTA</t>
  </si>
  <si>
    <t>082157188373</t>
  </si>
  <si>
    <t>yohanesbaleleng@gmail.com</t>
  </si>
  <si>
    <t>850/001/V-SMPN6/I/2004</t>
  </si>
  <si>
    <t>HELENA LOMAN</t>
  </si>
  <si>
    <t>MAGDALENA K. PUKA</t>
  </si>
  <si>
    <t>46.204.123.7-727.000</t>
  </si>
  <si>
    <t>Pendidikan Agama Katholik</t>
  </si>
  <si>
    <t>WAKIL KEPALA SEKOLAH KESISWAAN</t>
  </si>
  <si>
    <t>PENDIDIKAN AGAMA KATHOLIK DAN PERTANIAN</t>
  </si>
  <si>
    <t>YOHANES BALELENG</t>
  </si>
  <si>
    <t>1192026381</t>
  </si>
  <si>
    <t>2678</t>
  </si>
  <si>
    <t xml:space="preserve">SMA </t>
  </si>
  <si>
    <t>SMA Negeri 12 BERAU</t>
  </si>
  <si>
    <t>Marwan Toni</t>
  </si>
  <si>
    <t>S.Hut., M.Pd</t>
  </si>
  <si>
    <t>14/05/1976</t>
  </si>
  <si>
    <t>6403051405760001</t>
  </si>
  <si>
    <t>2846754655300062</t>
  </si>
  <si>
    <t>JL.DURIAN III, PERUM BI BLOK C11 NO 3</t>
  </si>
  <si>
    <t>GUNUNG PANJANG</t>
  </si>
  <si>
    <t>77312</t>
  </si>
  <si>
    <t>081348395025</t>
  </si>
  <si>
    <t>mtoniberau@gmail.com</t>
  </si>
  <si>
    <t>814/065/SMAN6-BR/IV/2009</t>
  </si>
  <si>
    <t>01/04/2009</t>
  </si>
  <si>
    <t>Aji Balhin</t>
  </si>
  <si>
    <t>Irmayanti</t>
  </si>
  <si>
    <t>140400193727000</t>
  </si>
  <si>
    <t>1122050498</t>
  </si>
  <si>
    <t>2721</t>
  </si>
  <si>
    <t>Diana Rita</t>
  </si>
  <si>
    <t>S.Pdk</t>
  </si>
  <si>
    <t>Krayan</t>
  </si>
  <si>
    <t>17/07/1984</t>
  </si>
  <si>
    <t>6403035707840002</t>
  </si>
  <si>
    <t>JL. CEMPAKA PUTIH</t>
  </si>
  <si>
    <t>77311</t>
  </si>
  <si>
    <t>081350204471</t>
  </si>
  <si>
    <t>dianarita717@yahoo.com</t>
  </si>
  <si>
    <t>423.5/001/SMAN12/VII/2013</t>
  </si>
  <si>
    <t>15/07/2013</t>
  </si>
  <si>
    <t>Litad</t>
  </si>
  <si>
    <t>Suardi</t>
  </si>
  <si>
    <t>Swasta</t>
  </si>
  <si>
    <t>662854637727000</t>
  </si>
  <si>
    <t>PendidikanAgama Kristen</t>
  </si>
  <si>
    <t>BPD Kaltim Syariah</t>
  </si>
  <si>
    <t>5161033768</t>
  </si>
  <si>
    <t>2722</t>
  </si>
  <si>
    <t>Didi Kurniawan</t>
  </si>
  <si>
    <t>Kebumen</t>
  </si>
  <si>
    <t>30/04/1987</t>
  </si>
  <si>
    <t>3313123004870003</t>
  </si>
  <si>
    <t>1762765666110032</t>
  </si>
  <si>
    <t>JL. CEMPAKA II NO.26</t>
  </si>
  <si>
    <t>082255602799</t>
  </si>
  <si>
    <t>kurniawandidi87@yahoo.co.id</t>
  </si>
  <si>
    <t>814.1/93/2009</t>
  </si>
  <si>
    <t>01/11/2009</t>
  </si>
  <si>
    <t>Hargiyati</t>
  </si>
  <si>
    <t>Indriyani Puji Hastuti</t>
  </si>
  <si>
    <t>Ibu Rumah Tangga</t>
  </si>
  <si>
    <t>665712402727000</t>
  </si>
  <si>
    <t>PJOK</t>
  </si>
  <si>
    <t>0062406411</t>
  </si>
  <si>
    <t>2723</t>
  </si>
  <si>
    <t>Edi Setiawan</t>
  </si>
  <si>
    <t>01/08/1989</t>
  </si>
  <si>
    <t>6403050108890003</t>
  </si>
  <si>
    <t>JL.BUKIT BERBUNGA</t>
  </si>
  <si>
    <t>77371</t>
  </si>
  <si>
    <t>081258428933</t>
  </si>
  <si>
    <t>setiawanedi594@yahoo.com</t>
  </si>
  <si>
    <t>424/148/III-SD.013/I2012</t>
  </si>
  <si>
    <t>Masriyu</t>
  </si>
  <si>
    <t>Juliana</t>
  </si>
  <si>
    <t>Admin CV.Diamond Abadi</t>
  </si>
  <si>
    <t>665455481727000</t>
  </si>
  <si>
    <t>Pendidikan Kewarganegaraan (PKn)</t>
  </si>
  <si>
    <t>Wakil Kepala Sekolah Humas</t>
  </si>
  <si>
    <t>Edi Setiawan, S.Pd</t>
  </si>
  <si>
    <t>5161011415</t>
  </si>
  <si>
    <t>2724</t>
  </si>
  <si>
    <t>Fualimin</t>
  </si>
  <si>
    <t>Diha</t>
  </si>
  <si>
    <t>04/05/1988</t>
  </si>
  <si>
    <t>5206010405881003</t>
  </si>
  <si>
    <t>JL.TRANS SAMBALIUNG</t>
  </si>
  <si>
    <t>082342328994</t>
  </si>
  <si>
    <t>fua_limin@yahoo.co.id</t>
  </si>
  <si>
    <t>423.5/2256/CDP-TR/SMA.M/I/2013</t>
  </si>
  <si>
    <t>Maemunah</t>
  </si>
  <si>
    <t>Jumratul Akbah</t>
  </si>
  <si>
    <t>555486877727000</t>
  </si>
  <si>
    <t>Wakil Kepala Sekolah Sarpras</t>
  </si>
  <si>
    <t>5161034270</t>
  </si>
  <si>
    <t>2725</t>
  </si>
  <si>
    <t>Haryono</t>
  </si>
  <si>
    <t>O'o</t>
  </si>
  <si>
    <t>21/05/1989</t>
  </si>
  <si>
    <t>7371102105890014</t>
  </si>
  <si>
    <t>JL.KARANG MULYO</t>
  </si>
  <si>
    <t>085399089290</t>
  </si>
  <si>
    <t>haryonoabdurahman89@gmail.com</t>
  </si>
  <si>
    <t>814.1.03/093/Disdik-Kab/Dikmen</t>
  </si>
  <si>
    <t>30/07/2014</t>
  </si>
  <si>
    <t>Pemerintah Daerah</t>
  </si>
  <si>
    <t>Aminah</t>
  </si>
  <si>
    <t>721360170727000</t>
  </si>
  <si>
    <t>0062406402</t>
  </si>
  <si>
    <t>2726</t>
  </si>
  <si>
    <t>Ida Yulianti</t>
  </si>
  <si>
    <t>27/03/1989</t>
  </si>
  <si>
    <t>6403036703890001</t>
  </si>
  <si>
    <t>JL.TANJUNG BARU II</t>
  </si>
  <si>
    <t>082159514440</t>
  </si>
  <si>
    <t>akhwateuy27@yahoo.co.id</t>
  </si>
  <si>
    <t>018/YAZ/SDIT-M/SK/VII/2008</t>
  </si>
  <si>
    <t>Ketua Yayasan</t>
  </si>
  <si>
    <t>Nurhayati</t>
  </si>
  <si>
    <t>Ardiansyah</t>
  </si>
  <si>
    <t>441928152727000</t>
  </si>
  <si>
    <t>5161033785</t>
  </si>
  <si>
    <t>2727</t>
  </si>
  <si>
    <t>Muhammad Mahayuddin</t>
  </si>
  <si>
    <t>Bebanir Bangun</t>
  </si>
  <si>
    <t>07/03/1988</t>
  </si>
  <si>
    <t>6403030703880003</t>
  </si>
  <si>
    <t>JL.BEBANIR BANGUN</t>
  </si>
  <si>
    <t>SEI BEBANIR BANGUN</t>
  </si>
  <si>
    <t>085347456098</t>
  </si>
  <si>
    <t>muhammadmahayuddin4@gmail.com</t>
  </si>
  <si>
    <t>Jittan</t>
  </si>
  <si>
    <t>662236389727000</t>
  </si>
  <si>
    <t>0062403667</t>
  </si>
  <si>
    <t>2728</t>
  </si>
  <si>
    <t>Mariasa</t>
  </si>
  <si>
    <t>11/06/1988</t>
  </si>
  <si>
    <t>6403035106880001</t>
  </si>
  <si>
    <t>JL.KEMAKMURAN</t>
  </si>
  <si>
    <t>085248314833</t>
  </si>
  <si>
    <t>mariasa.spd@gmail.com</t>
  </si>
  <si>
    <t>Fatima</t>
  </si>
  <si>
    <t>Solikhin</t>
  </si>
  <si>
    <t>662285659727000</t>
  </si>
  <si>
    <t>0067445317</t>
  </si>
  <si>
    <t>2729</t>
  </si>
  <si>
    <t>Marten</t>
  </si>
  <si>
    <t>Sei Bebanir</t>
  </si>
  <si>
    <t>6403030806790001</t>
  </si>
  <si>
    <t>9940757658200002</t>
  </si>
  <si>
    <t>JL. MANUNGGAL</t>
  </si>
  <si>
    <t>081346445624</t>
  </si>
  <si>
    <t>martenm@rockelmail.com</t>
  </si>
  <si>
    <t>1067/126.15/SMU-Kes.1/KPz/2002</t>
  </si>
  <si>
    <t>15/07/2002</t>
  </si>
  <si>
    <t>Mustika</t>
  </si>
  <si>
    <t>Herlinawati Syafi'i</t>
  </si>
  <si>
    <t>198205202011012011</t>
  </si>
  <si>
    <t>ASN</t>
  </si>
  <si>
    <t>01 Januari 2013</t>
  </si>
  <si>
    <t>554736710727000</t>
  </si>
  <si>
    <t>0062406381</t>
  </si>
  <si>
    <t>2730</t>
  </si>
  <si>
    <t>Muhlis</t>
  </si>
  <si>
    <t>S.Pd.I., M.Pd</t>
  </si>
  <si>
    <t>21/08/1982</t>
  </si>
  <si>
    <t>6403052108820001</t>
  </si>
  <si>
    <t>2153760665200003</t>
  </si>
  <si>
    <t>MANGGA 3, GANG SEROJA NO.94</t>
  </si>
  <si>
    <t>085246126669</t>
  </si>
  <si>
    <t>muhlisdotcom@yahoo.co.id</t>
  </si>
  <si>
    <t>422/211/SMP.4/VII/2007</t>
  </si>
  <si>
    <t>03/07/2007</t>
  </si>
  <si>
    <t>Mariani (Almarhum)</t>
  </si>
  <si>
    <t>Desi Arisanti</t>
  </si>
  <si>
    <t>Tenaga Kontrak Pemda</t>
  </si>
  <si>
    <t>141439471727000</t>
  </si>
  <si>
    <t xml:space="preserve">BPD Kaltim </t>
  </si>
  <si>
    <t>0062406429</t>
  </si>
  <si>
    <t>2731</t>
  </si>
  <si>
    <t>Noor Hasinah Khalid</t>
  </si>
  <si>
    <t>Semoi</t>
  </si>
  <si>
    <t>17/02/1991</t>
  </si>
  <si>
    <t>6403055702910001</t>
  </si>
  <si>
    <t>JL.MANUNGGAL, GANG AL-AMIN</t>
  </si>
  <si>
    <t>085246028711</t>
  </si>
  <si>
    <t>nur.khasinah1702@gmail.com</t>
  </si>
  <si>
    <t>002/SK/PPLP-PGRI/BERAU/2013</t>
  </si>
  <si>
    <t>03/01/2013</t>
  </si>
  <si>
    <t>Suharmi</t>
  </si>
  <si>
    <t>721177285727000</t>
  </si>
  <si>
    <t>0062406194</t>
  </si>
  <si>
    <t>2732</t>
  </si>
  <si>
    <t>Majeng Tengah</t>
  </si>
  <si>
    <t>25/01/1989</t>
  </si>
  <si>
    <t>6402056501890002</t>
  </si>
  <si>
    <t>2457767667210022</t>
  </si>
  <si>
    <t>082154691616</t>
  </si>
  <si>
    <t>nurhayatiaira@gmail.com</t>
  </si>
  <si>
    <t>814/0338/DP-SMAN 2/VIII/2010</t>
  </si>
  <si>
    <t>10/08/2010</t>
  </si>
  <si>
    <t>Parti</t>
  </si>
  <si>
    <t>Masdar. G</t>
  </si>
  <si>
    <t>159229210728000</t>
  </si>
  <si>
    <t>5161117777</t>
  </si>
  <si>
    <t>2733</t>
  </si>
  <si>
    <t>Saharudin</t>
  </si>
  <si>
    <t>S.Pd., M.Pd.I</t>
  </si>
  <si>
    <t>17/08/1987</t>
  </si>
  <si>
    <t>5271031708870002</t>
  </si>
  <si>
    <t>JL.PENDIDIKAN I SEI BEBANIR BANGUN</t>
  </si>
  <si>
    <t>085337927272</t>
  </si>
  <si>
    <t>saharudin.yuas178@gmail.com</t>
  </si>
  <si>
    <t>422/071//SMKM-NU//VII/2012</t>
  </si>
  <si>
    <t>Hairunnas</t>
  </si>
  <si>
    <t>703327007727000</t>
  </si>
  <si>
    <t>0062406364</t>
  </si>
  <si>
    <t>2734</t>
  </si>
  <si>
    <t>Siti Asaniyati</t>
  </si>
  <si>
    <t>Wirun Krajan</t>
  </si>
  <si>
    <t>27/11/1988</t>
  </si>
  <si>
    <t>6403026711880001</t>
  </si>
  <si>
    <t>JL. BUJANGGA</t>
  </si>
  <si>
    <t>SEI BEDUNGUN</t>
  </si>
  <si>
    <t>77315</t>
  </si>
  <si>
    <t>085246984483</t>
  </si>
  <si>
    <t>shan_likeblue@yahoo.co.id</t>
  </si>
  <si>
    <t>042.4/212/LP-M/I/2012</t>
  </si>
  <si>
    <t>Sri Minasti</t>
  </si>
  <si>
    <t>Bambang Alamsyah</t>
  </si>
  <si>
    <t>738081637727000</t>
  </si>
  <si>
    <t>Bimbingan Konseling</t>
  </si>
  <si>
    <t>Siti Asaniati</t>
  </si>
  <si>
    <t>0067018109</t>
  </si>
  <si>
    <t>2735</t>
  </si>
  <si>
    <t>Sri Isnawati</t>
  </si>
  <si>
    <t>Samboja</t>
  </si>
  <si>
    <t>19/09/1983</t>
  </si>
  <si>
    <t>6403055909830001</t>
  </si>
  <si>
    <t>8251761662300013</t>
  </si>
  <si>
    <t>JL.MURJANI III</t>
  </si>
  <si>
    <t>73711</t>
  </si>
  <si>
    <t>085345774979</t>
  </si>
  <si>
    <t>sriisnawati983@gmail.com</t>
  </si>
  <si>
    <t>058/MTS.K/A/XII/2005</t>
  </si>
  <si>
    <t>06/12/2005</t>
  </si>
  <si>
    <t>Suyati</t>
  </si>
  <si>
    <t>Radian Noor</t>
  </si>
  <si>
    <t>198207082008031001</t>
  </si>
  <si>
    <t>21 April 2008</t>
  </si>
  <si>
    <t>555115054727000</t>
  </si>
  <si>
    <t>Guru Piket, Waka Kurikulum</t>
  </si>
  <si>
    <t>5161021746</t>
  </si>
  <si>
    <t>2736</t>
  </si>
  <si>
    <t>Rudianto</t>
  </si>
  <si>
    <t>25/11/1978</t>
  </si>
  <si>
    <t>6403092511780001</t>
  </si>
  <si>
    <t>3457756659200003</t>
  </si>
  <si>
    <t>Jl. CUT NYAK DIEN GANG KELAPA BLOK D RINDING</t>
  </si>
  <si>
    <t>08125474577</t>
  </si>
  <si>
    <t>sagi0418@gmail.com</t>
  </si>
  <si>
    <t xml:space="preserve"> 423.159/IX.SMPN/VII/2006</t>
  </si>
  <si>
    <t>03/07/2006</t>
  </si>
  <si>
    <t>Sugiyem</t>
  </si>
  <si>
    <t>Sri Handayani</t>
  </si>
  <si>
    <t>665210506727000</t>
  </si>
  <si>
    <t>DI</t>
  </si>
  <si>
    <t>Kesekretariatan dan Administrasi Perkantoran</t>
  </si>
  <si>
    <t>5161030607</t>
  </si>
  <si>
    <t>2737</t>
  </si>
  <si>
    <t xml:space="preserve">Ali Patau </t>
  </si>
  <si>
    <t>6403032412880001</t>
  </si>
  <si>
    <t>JL.MANGKUBUMI</t>
  </si>
  <si>
    <t>085250555008</t>
  </si>
  <si>
    <t>ali.patau@yahoo.com</t>
  </si>
  <si>
    <t>Zuifah</t>
  </si>
  <si>
    <t>Leni Marlina</t>
  </si>
  <si>
    <t>896987039727000</t>
  </si>
  <si>
    <t>Ali Patau</t>
  </si>
  <si>
    <t>5161033754</t>
  </si>
  <si>
    <t>2738</t>
  </si>
  <si>
    <t>Laila Sari</t>
  </si>
  <si>
    <t>Bangun</t>
  </si>
  <si>
    <t>6403034908940001</t>
  </si>
  <si>
    <t>JL.PEMBANGUNAN</t>
  </si>
  <si>
    <t>082354747437</t>
  </si>
  <si>
    <t>sarilaila33@gmail.com</t>
  </si>
  <si>
    <t>Arsanna</t>
  </si>
  <si>
    <t>Yusuf</t>
  </si>
  <si>
    <t>Dosen</t>
  </si>
  <si>
    <t>662853290727000</t>
  </si>
  <si>
    <t>5161023125</t>
  </si>
  <si>
    <t>2739</t>
  </si>
  <si>
    <t>Muhammad Tarif</t>
  </si>
  <si>
    <t>05/02/1983</t>
  </si>
  <si>
    <t>6403030502830001</t>
  </si>
  <si>
    <t>JL. RAYA BANGUN</t>
  </si>
  <si>
    <t>081256584007</t>
  </si>
  <si>
    <t>muhammadtarif655@gmail.com</t>
  </si>
  <si>
    <t>814.1/001.a/SMAN.12-Berau/Tata Usaha</t>
  </si>
  <si>
    <t>02/01/2015</t>
  </si>
  <si>
    <t>Udara (Almarhum)</t>
  </si>
  <si>
    <t>Kartila</t>
  </si>
  <si>
    <t>662843290727000</t>
  </si>
  <si>
    <t>5161033771</t>
  </si>
  <si>
    <t>2740</t>
  </si>
  <si>
    <t>Norhasanah</t>
  </si>
  <si>
    <t>6403034506870001</t>
  </si>
  <si>
    <t>JL. KEMAKMURAN</t>
  </si>
  <si>
    <t>082112288087</t>
  </si>
  <si>
    <t>norhasanah.suryana@yahoo.com</t>
  </si>
  <si>
    <t>Suryana</t>
  </si>
  <si>
    <t>662841071727000</t>
  </si>
  <si>
    <t>5161033741</t>
  </si>
  <si>
    <t>Kota Berau</t>
  </si>
  <si>
    <t>SMA Negeri 13 Berau</t>
  </si>
  <si>
    <t>Bahrudin</t>
  </si>
  <si>
    <t>PURWOREJO</t>
  </si>
  <si>
    <t>11 Maret 1987</t>
  </si>
  <si>
    <t>6403091105870001</t>
  </si>
  <si>
    <t>Jl. Perintis</t>
  </si>
  <si>
    <t>Tumbit Melayu</t>
  </si>
  <si>
    <t>082150893391</t>
  </si>
  <si>
    <t>bahrudintumbit@gmail.com</t>
  </si>
  <si>
    <t>800/   /V-SMA13/VII/2013</t>
  </si>
  <si>
    <t>2 Juli 2013</t>
  </si>
  <si>
    <t>Pemerintah Kabupaten Berau</t>
  </si>
  <si>
    <t>SURIYAH</t>
  </si>
  <si>
    <t>NITA APRILIANA</t>
  </si>
  <si>
    <t>199004172015032010</t>
  </si>
  <si>
    <t>66.423.233.7-727.000</t>
  </si>
  <si>
    <t>Pembina Eskul</t>
  </si>
  <si>
    <t>KCP TALISAYAN</t>
  </si>
  <si>
    <t>BAHRUDIN</t>
  </si>
  <si>
    <t>SANGKULIRANG</t>
  </si>
  <si>
    <t>25 Mei 1990</t>
  </si>
  <si>
    <t>6403026505900001</t>
  </si>
  <si>
    <t>JL. Utama</t>
  </si>
  <si>
    <t>081224153845</t>
  </si>
  <si>
    <t>intanprihatini681@gmail.com</t>
  </si>
  <si>
    <t>YAYAH SUMIYATI</t>
  </si>
  <si>
    <t>AGUS MUHAMMAD ARIS</t>
  </si>
  <si>
    <t>GURU HONOR</t>
  </si>
  <si>
    <t>66.427.947.8-727.000</t>
  </si>
  <si>
    <t>INTAN PRIHATINI</t>
  </si>
  <si>
    <t>Darwin</t>
  </si>
  <si>
    <t>TEMBUDAN</t>
  </si>
  <si>
    <t>01 Juli 1988</t>
  </si>
  <si>
    <t>6403130107880010</t>
  </si>
  <si>
    <t xml:space="preserve">Jl. Diponegoro </t>
  </si>
  <si>
    <t>Tembudan</t>
  </si>
  <si>
    <t>082350196231</t>
  </si>
  <si>
    <t>sudarwind946@gmail.com</t>
  </si>
  <si>
    <t>LUKAH</t>
  </si>
  <si>
    <t>66.710.571.2-727.000</t>
  </si>
  <si>
    <t>Pembina pramuka</t>
  </si>
  <si>
    <t>PKN dan SBK</t>
  </si>
  <si>
    <t>DARWIN</t>
  </si>
  <si>
    <t>Edimansyah</t>
  </si>
  <si>
    <t>BIMA</t>
  </si>
  <si>
    <t>01 Juni 1989</t>
  </si>
  <si>
    <t>5206180106890001</t>
  </si>
  <si>
    <t>Jl. Raya Water Park</t>
  </si>
  <si>
    <t>085338573661</t>
  </si>
  <si>
    <t>dhimaz760@gmail.com</t>
  </si>
  <si>
    <t>SITI SARAH</t>
  </si>
  <si>
    <t>66.430.653.7-727.000</t>
  </si>
  <si>
    <t>kesiswaan, wali kelas, pembina eskul Pencak silat</t>
  </si>
  <si>
    <t>KCP Talisayan</t>
  </si>
  <si>
    <t>EDIMANSYAH</t>
  </si>
  <si>
    <t>Norasyikin</t>
  </si>
  <si>
    <t>6402094409770001</t>
  </si>
  <si>
    <t>0236755657300053</t>
  </si>
  <si>
    <t>Jl. Imam Bonjol</t>
  </si>
  <si>
    <t>Campursari</t>
  </si>
  <si>
    <t>085388867012</t>
  </si>
  <si>
    <t>asikinnoor75@gmail.com</t>
  </si>
  <si>
    <t>KHAERANI</t>
  </si>
  <si>
    <t>AMIR</t>
  </si>
  <si>
    <t>66.427.865.2-727.000</t>
  </si>
  <si>
    <t>Pendidikan agama Islam</t>
  </si>
  <si>
    <t>Eskul OSIS</t>
  </si>
  <si>
    <t>KCP Gunung Tabur</t>
  </si>
  <si>
    <t>NORASYIKIN</t>
  </si>
  <si>
    <t>Yohanis.MP</t>
  </si>
  <si>
    <t>ATOK DADEKO</t>
  </si>
  <si>
    <t>7603071609870001</t>
  </si>
  <si>
    <t>8248765667200003</t>
  </si>
  <si>
    <t>Jl. Pulau panjang gg.salak 1</t>
  </si>
  <si>
    <t>085241375193</t>
  </si>
  <si>
    <t>Yohanismp16@gmail.com</t>
  </si>
  <si>
    <t>ADEL B</t>
  </si>
  <si>
    <t>66.453.708.1-727.000</t>
  </si>
  <si>
    <t>Pendidikan Jasmani, kesehatan dan Rekreasi</t>
  </si>
  <si>
    <t xml:space="preserve"> Pembina Eskul</t>
  </si>
  <si>
    <t>Pendidikan Jasmani dan Orkes</t>
  </si>
  <si>
    <t>YOHANIS.MP</t>
  </si>
  <si>
    <t>Terawati Lamma Pabisa</t>
  </si>
  <si>
    <t>07 Mei 1986</t>
  </si>
  <si>
    <t>6403054705860003</t>
  </si>
  <si>
    <t>Jl. Durian 2 Gang Semangat</t>
  </si>
  <si>
    <t>085250504830</t>
  </si>
  <si>
    <t>Teralamma@gmail.com</t>
  </si>
  <si>
    <t>ELISABET</t>
  </si>
  <si>
    <t>66.453.541.6-727.000</t>
  </si>
  <si>
    <t>guru piket, pembina pramuka</t>
  </si>
  <si>
    <t>Terawati Lamma</t>
  </si>
  <si>
    <t>Siti Hawa</t>
  </si>
  <si>
    <t>NCERA</t>
  </si>
  <si>
    <t>12 Oktober 1989</t>
  </si>
  <si>
    <t>5206045210890001</t>
  </si>
  <si>
    <t>Jl. Melati</t>
  </si>
  <si>
    <t>082144188775</t>
  </si>
  <si>
    <t>Hawaardi@yahoo.co.id</t>
  </si>
  <si>
    <t>814.1.03/001/disdik-kab/dikmen</t>
  </si>
  <si>
    <t>HJ. HADIJAH</t>
  </si>
  <si>
    <t>72.866.551.4-727.000</t>
  </si>
  <si>
    <t>Rohis</t>
  </si>
  <si>
    <t>Ekonomi dan Kewirausahaan</t>
  </si>
  <si>
    <t>SITI HAWA</t>
  </si>
  <si>
    <t>Furkan</t>
  </si>
  <si>
    <t>TAWALI</t>
  </si>
  <si>
    <t>10 Mei 1990</t>
  </si>
  <si>
    <t>5206071005901004</t>
  </si>
  <si>
    <t>Jl. Limunjan</t>
  </si>
  <si>
    <t>085338743505</t>
  </si>
  <si>
    <t>furkanmpoae@yahoo.co.id</t>
  </si>
  <si>
    <t>821/001/V-SMAN13/I/2015</t>
  </si>
  <si>
    <t>HADIJAH</t>
  </si>
  <si>
    <t xml:space="preserve">Pembina pramuka. Pembina OSN. </t>
  </si>
  <si>
    <t>FURKAN</t>
  </si>
  <si>
    <t>Ilham</t>
  </si>
  <si>
    <t>13 Mei 1990</t>
  </si>
  <si>
    <t>7307021305900001</t>
  </si>
  <si>
    <t>Tallo</t>
  </si>
  <si>
    <t>Sinjai Selatan</t>
  </si>
  <si>
    <t>085298634069</t>
  </si>
  <si>
    <t>ilham_nuzlam@yahoo.co.id</t>
  </si>
  <si>
    <t>821 / 001  /V-SMA13 / XI / 2014</t>
  </si>
  <si>
    <t>ROSE</t>
  </si>
  <si>
    <t>Pendidikan Bahasa Jerman</t>
  </si>
  <si>
    <t>Wali Kelas, Pembina Rohis, Pembina Pramuka</t>
  </si>
  <si>
    <t>ILHAM</t>
  </si>
  <si>
    <t>Maria Magdalena Londa</t>
  </si>
  <si>
    <t>KUPANG</t>
  </si>
  <si>
    <t>10 Februari 1990</t>
  </si>
  <si>
    <t>5371015002900001</t>
  </si>
  <si>
    <t>Khatolik</t>
  </si>
  <si>
    <t>Jl. RA. Kartini</t>
  </si>
  <si>
    <t>085237521161</t>
  </si>
  <si>
    <t>scot_many@yahoo.com</t>
  </si>
  <si>
    <t>821 / 025 /V-SMA13 / XI / 2015</t>
  </si>
  <si>
    <t>LUSIA LORU</t>
  </si>
  <si>
    <t>Pendidikan Agama Khatolik</t>
  </si>
  <si>
    <t>Pembina pramuka, Eskul OSIS</t>
  </si>
  <si>
    <t>Pendidikan Agama Khatolik,pendidikan agama kristen</t>
  </si>
  <si>
    <t>MARIA MAGDALENA LONDA</t>
  </si>
  <si>
    <t>Wulansari, S.Pd</t>
  </si>
  <si>
    <t>S.Pd.,Gr</t>
  </si>
  <si>
    <t>6403026003930001</t>
  </si>
  <si>
    <t>Jl. Poros</t>
  </si>
  <si>
    <t>081330145799</t>
  </si>
  <si>
    <t>wulanchemist047@gmail.com</t>
  </si>
  <si>
    <t>800/4930/Disdikbud-Ia/2017</t>
  </si>
  <si>
    <t>SRIYANI</t>
  </si>
  <si>
    <t>Wali kelas, Guru Piket, Pembina Pramuka</t>
  </si>
  <si>
    <t>Kimia dan Matematika</t>
  </si>
  <si>
    <t>WULANSARI</t>
  </si>
  <si>
    <t>Nurhidayana Ria Suwarti</t>
  </si>
  <si>
    <t>TENGGARONG</t>
  </si>
  <si>
    <t>09 Desember 1992</t>
  </si>
  <si>
    <t>6403094912920001</t>
  </si>
  <si>
    <t>Jl. M. Iswahyudi</t>
  </si>
  <si>
    <t>085236908519</t>
  </si>
  <si>
    <t>nurhidayana797@gmail.com</t>
  </si>
  <si>
    <t>800/002/V-SMAN13BERAU/VII/2015</t>
  </si>
  <si>
    <t>JUARIYAH</t>
  </si>
  <si>
    <t>JUSMIN</t>
  </si>
  <si>
    <t>SWASTA</t>
  </si>
  <si>
    <t>BPD KALTIN</t>
  </si>
  <si>
    <t>KCP Tanjung Redeb</t>
  </si>
  <si>
    <t>NURHIDAYANA RIA SUWARTI</t>
  </si>
  <si>
    <t>0062406224</t>
  </si>
  <si>
    <t>Arfah</t>
  </si>
  <si>
    <t>17 Juni 1992</t>
  </si>
  <si>
    <t>7307021706920001</t>
  </si>
  <si>
    <t>Jl. Dermaga gang wakaf</t>
  </si>
  <si>
    <t>Karang ambun</t>
  </si>
  <si>
    <t>085341476540</t>
  </si>
  <si>
    <t>arfahahmad92@yahoo.co.id</t>
  </si>
  <si>
    <t>800/003/V-SMAN13BERAU/VII/2015</t>
  </si>
  <si>
    <t>JAMILAH</t>
  </si>
  <si>
    <t>Sosiologi,Antropologi</t>
  </si>
  <si>
    <t>ARFAH</t>
  </si>
  <si>
    <t>Nela Hastina</t>
  </si>
  <si>
    <t>6403026604930001</t>
  </si>
  <si>
    <t>Jl. Mulawarman</t>
  </si>
  <si>
    <t>Dumaring</t>
  </si>
  <si>
    <t>082357513255</t>
  </si>
  <si>
    <t>nelahastina4@gmail.com</t>
  </si>
  <si>
    <t>800/4933/Disdikbud-Ia/2017</t>
  </si>
  <si>
    <t>HAISAH</t>
  </si>
  <si>
    <t>Bahasa dan Sastra Indonesia</t>
  </si>
  <si>
    <t>Bahasa dan Sastra Indonesia, SBK</t>
  </si>
  <si>
    <t>NELA HASTINA</t>
  </si>
  <si>
    <t>Agus Purnawan</t>
  </si>
  <si>
    <t>BLITAR</t>
  </si>
  <si>
    <t>12 Agustus 1983</t>
  </si>
  <si>
    <t>6403121208830001</t>
  </si>
  <si>
    <t>2144761664200023</t>
  </si>
  <si>
    <t>Jl. Delima</t>
  </si>
  <si>
    <t>Sumber Agung</t>
  </si>
  <si>
    <t>082351096240</t>
  </si>
  <si>
    <t>Aguspurnawan67@yahoo.com</t>
  </si>
  <si>
    <t>821/250/V-SMA1/VI/2007</t>
  </si>
  <si>
    <t>RUMINI</t>
  </si>
  <si>
    <t>66.185.195.8-727.000</t>
  </si>
  <si>
    <t>AGUS PURNAWAN</t>
  </si>
  <si>
    <t>Yulianti Nurhidayah</t>
  </si>
  <si>
    <t>25 Juli 1994</t>
  </si>
  <si>
    <t>6403026507940001</t>
  </si>
  <si>
    <t>082350207173</t>
  </si>
  <si>
    <t>sakhi.aska@gmail.com</t>
  </si>
  <si>
    <t>NUROHMAH</t>
  </si>
  <si>
    <t>66.429.165.5-727.000</t>
  </si>
  <si>
    <t>Paing</t>
  </si>
  <si>
    <t>BANYUWANGI</t>
  </si>
  <si>
    <t>24 Juni 1984</t>
  </si>
  <si>
    <t>6403022406840001</t>
  </si>
  <si>
    <t>Jl. Gajah Mada</t>
  </si>
  <si>
    <t>085332766061</t>
  </si>
  <si>
    <t>paingsman13@gmail.com</t>
  </si>
  <si>
    <t>SAMPIR JUAINI</t>
  </si>
  <si>
    <t>KUSNUL WAKIDAH</t>
  </si>
  <si>
    <t>PAING</t>
  </si>
  <si>
    <t>SMAN 14 BERAU</t>
  </si>
  <si>
    <t>Laki-laki</t>
  </si>
  <si>
    <t>KARANGAN</t>
  </si>
  <si>
    <t>6403131001800003</t>
  </si>
  <si>
    <t>Biatan Ilir</t>
  </si>
  <si>
    <t>003</t>
  </si>
  <si>
    <t>082158851091</t>
  </si>
  <si>
    <t>814.1.03/001/Disdik-Kab.Dikmen</t>
  </si>
  <si>
    <t>Hadijah</t>
  </si>
  <si>
    <t>Musnaini Muin</t>
  </si>
  <si>
    <t>66.437.050.9-727.000</t>
  </si>
  <si>
    <t>Guru Piket, Pembina Ekstrakurikuler</t>
  </si>
  <si>
    <t>Agama Islam</t>
  </si>
  <si>
    <t>Capem Talisayan</t>
  </si>
  <si>
    <t>1192026110</t>
  </si>
  <si>
    <t>Andi Yusnita</t>
  </si>
  <si>
    <t>Biatan Lempake</t>
  </si>
  <si>
    <t>6403056710890001</t>
  </si>
  <si>
    <t>Biatan lempake</t>
  </si>
  <si>
    <t>085391115338</t>
  </si>
  <si>
    <t>Hj. Dg Tamajang</t>
  </si>
  <si>
    <t>Asmar Baco</t>
  </si>
  <si>
    <t>66.437.290.1-727.000</t>
  </si>
  <si>
    <t>Kimia, Tata Boga</t>
  </si>
  <si>
    <t>1192032781</t>
  </si>
  <si>
    <t>Arapa</t>
  </si>
  <si>
    <t>6403124512890001</t>
  </si>
  <si>
    <t>081253713246</t>
  </si>
  <si>
    <t>Hj. Nurmia</t>
  </si>
  <si>
    <t>Aswinda</t>
  </si>
  <si>
    <t>66.437.031.9-727.000</t>
  </si>
  <si>
    <t>Wakil Kepala Sekolah Humas, Guru Piket, Pembina Ekstrakurikuler</t>
  </si>
  <si>
    <t>Penjasorkes, TIK</t>
  </si>
  <si>
    <t>1192032691</t>
  </si>
  <si>
    <t>Evi Ali Sandi</t>
  </si>
  <si>
    <t>6403105711900001</t>
  </si>
  <si>
    <t>Tubaan</t>
  </si>
  <si>
    <t>081350909201</t>
  </si>
  <si>
    <t>evialisandi@gmail.com</t>
  </si>
  <si>
    <t>Siti Rokilah</t>
  </si>
  <si>
    <t>66.324.697.3-727.000</t>
  </si>
  <si>
    <t>Pendidikan Bhs. Inggris</t>
  </si>
  <si>
    <t xml:space="preserve">Guru Piket, Pembina Pramuka </t>
  </si>
  <si>
    <t>Bahasa Inggris, Prakarya</t>
  </si>
  <si>
    <t>1192031784</t>
  </si>
  <si>
    <t>Falmadianti</t>
  </si>
  <si>
    <t>6472035105840004</t>
  </si>
  <si>
    <t>5843762663210130</t>
  </si>
  <si>
    <t>Jln. Sukarno Hatta</t>
  </si>
  <si>
    <t>06</t>
  </si>
  <si>
    <t>08125530049</t>
  </si>
  <si>
    <t>f4lm4_koetai@ymail.com</t>
  </si>
  <si>
    <t>Affiarni Widiarti</t>
  </si>
  <si>
    <t>Murhan</t>
  </si>
  <si>
    <t>198310222009041002</t>
  </si>
  <si>
    <t>66.330.075.4-727.000</t>
  </si>
  <si>
    <t>1082125279</t>
  </si>
  <si>
    <t>Pinrang</t>
  </si>
  <si>
    <t>7315046507870001</t>
  </si>
  <si>
    <t>Tisa</t>
  </si>
  <si>
    <t>66.330.080.4-727.000</t>
  </si>
  <si>
    <t>1192027663</t>
  </si>
  <si>
    <t>Joni Hermanto</t>
  </si>
  <si>
    <t>Long Pesia</t>
  </si>
  <si>
    <t>6406070506880002</t>
  </si>
  <si>
    <t>Protestan</t>
  </si>
  <si>
    <t>Biatan Bapinang</t>
  </si>
  <si>
    <t>Rosti Buing</t>
  </si>
  <si>
    <t>66.324.672.6-727.000</t>
  </si>
  <si>
    <t>Agama Protestan</t>
  </si>
  <si>
    <t>1192027761</t>
  </si>
  <si>
    <t>Made Putra</t>
  </si>
  <si>
    <t>Pacung</t>
  </si>
  <si>
    <t>5108091204860004</t>
  </si>
  <si>
    <t>Hindu</t>
  </si>
  <si>
    <t>081286212381</t>
  </si>
  <si>
    <t>mr.voetra@gmail.com</t>
  </si>
  <si>
    <t>Wayan Putri</t>
  </si>
  <si>
    <t>66.324.687.4-727.000</t>
  </si>
  <si>
    <t>Pendidikan Sejarah</t>
  </si>
  <si>
    <t>Wakil Kepala Sekolah Sarpras, Guru Piket, Pembina Ekstrakurikuler</t>
  </si>
  <si>
    <t>1192032713</t>
  </si>
  <si>
    <t>Mardiwati</t>
  </si>
  <si>
    <t>Kalase'rena</t>
  </si>
  <si>
    <t>6403135901860001</t>
  </si>
  <si>
    <t>Biatan Baru</t>
  </si>
  <si>
    <t>Halawiyah</t>
  </si>
  <si>
    <t>Agus Sulistianto</t>
  </si>
  <si>
    <t>16.311.642.9-727.000</t>
  </si>
  <si>
    <t>1192032721</t>
  </si>
  <si>
    <t>Maria Rante Pakku</t>
  </si>
  <si>
    <t>Akung</t>
  </si>
  <si>
    <t>7602105506830001</t>
  </si>
  <si>
    <t>3947761663300102</t>
  </si>
  <si>
    <t>Kahtolik</t>
  </si>
  <si>
    <t>Jln. Bulungan</t>
  </si>
  <si>
    <t>012</t>
  </si>
  <si>
    <t>Gunug Tabur</t>
  </si>
  <si>
    <t>082197361572</t>
  </si>
  <si>
    <t>mariarantepakku@gmail.com</t>
  </si>
  <si>
    <t>Biri'</t>
  </si>
  <si>
    <t>Marten Pali'</t>
  </si>
  <si>
    <t>66.437.082.2-727.000</t>
  </si>
  <si>
    <t>1192032772</t>
  </si>
  <si>
    <t>Tajliah</t>
  </si>
  <si>
    <t>6403025311890001</t>
  </si>
  <si>
    <t>006</t>
  </si>
  <si>
    <t>Sei Babanir Bangun</t>
  </si>
  <si>
    <t>085250484886</t>
  </si>
  <si>
    <t>liatajlia@gmail.com</t>
  </si>
  <si>
    <t>Ne'mah</t>
  </si>
  <si>
    <t>Deni Andrianto</t>
  </si>
  <si>
    <t>66.437.149.9-727.000</t>
  </si>
  <si>
    <t>1192029241</t>
  </si>
  <si>
    <t>Budianto</t>
  </si>
  <si>
    <t>Gumingsir</t>
  </si>
  <si>
    <t>6403130107910010</t>
  </si>
  <si>
    <t>081346487965</t>
  </si>
  <si>
    <t>budiantoalfatih@gmail.com</t>
  </si>
  <si>
    <t>Rohayati</t>
  </si>
  <si>
    <t>66.330.055.6-727.000</t>
  </si>
  <si>
    <t>Wakil Kepala Sekolah Kesiswaan,Guru Piket</t>
  </si>
  <si>
    <t>Biologi, TIK</t>
  </si>
  <si>
    <t>1192032764</t>
  </si>
  <si>
    <t>Bahriana</t>
  </si>
  <si>
    <t>Timpa</t>
  </si>
  <si>
    <t>7308136804920001</t>
  </si>
  <si>
    <t>Mamminasae</t>
  </si>
  <si>
    <t>Lamuru</t>
  </si>
  <si>
    <t>085342031349</t>
  </si>
  <si>
    <t>Bahriana28@yahoo.com</t>
  </si>
  <si>
    <t>Ruwedah</t>
  </si>
  <si>
    <t>Muh. Asri</t>
  </si>
  <si>
    <t>Guru Kotrak</t>
  </si>
  <si>
    <t>1192032799</t>
  </si>
  <si>
    <t>Suhaimi</t>
  </si>
  <si>
    <t xml:space="preserve">Biatan Lempake, </t>
  </si>
  <si>
    <t>6403134308910001</t>
  </si>
  <si>
    <t>085245328391</t>
  </si>
  <si>
    <t>suhaimi.albuchaerah@gmail.com</t>
  </si>
  <si>
    <t>821.3/75/SMAN_14/X/2014</t>
  </si>
  <si>
    <t>Bungatang</t>
  </si>
  <si>
    <t>Pendidikan Bahasa, Sastra dan Daerah</t>
  </si>
  <si>
    <t>Guru Piket, Pembina Ekstrakurikuler, Pembina Osis</t>
  </si>
  <si>
    <t>KCP Univ. Mulawarman</t>
  </si>
  <si>
    <t>0012815891</t>
  </si>
  <si>
    <t>Zubair</t>
  </si>
  <si>
    <t>Buyung-buyung</t>
  </si>
  <si>
    <t>6403132403840001</t>
  </si>
  <si>
    <t>Karangan</t>
  </si>
  <si>
    <t>085242699060</t>
  </si>
  <si>
    <t>zubair.sman14@gmail.com</t>
  </si>
  <si>
    <t>Hasanah</t>
  </si>
  <si>
    <t>suhartini</t>
  </si>
  <si>
    <t>Honor Sekolah</t>
  </si>
  <si>
    <t>66.330.067.1-727.000</t>
  </si>
  <si>
    <t>1192032756</t>
  </si>
  <si>
    <t>Masdalena</t>
  </si>
  <si>
    <t>081350835969</t>
  </si>
  <si>
    <t>Masliah</t>
  </si>
  <si>
    <t>Azwar andala Putra</t>
  </si>
  <si>
    <t>66.330.089.5-727.000</t>
  </si>
  <si>
    <t>1192030940</t>
  </si>
  <si>
    <t>Martinus Buntulibu</t>
  </si>
  <si>
    <t>Pangli</t>
  </si>
  <si>
    <t>6403130110720002</t>
  </si>
  <si>
    <t>Yohana Paembonan</t>
  </si>
  <si>
    <t>66.437.068.1-727.000</t>
  </si>
  <si>
    <t>1192032730</t>
  </si>
  <si>
    <t>Kab . Berau</t>
  </si>
  <si>
    <t>SLB</t>
  </si>
  <si>
    <t>SLB Negeri Tanjung Redeb</t>
  </si>
  <si>
    <t>Dalillah Khoirotul Huda</t>
  </si>
  <si>
    <t xml:space="preserve">Serang                           </t>
  </si>
  <si>
    <t>3604015504900712</t>
  </si>
  <si>
    <t>Jl. Mawar II</t>
  </si>
  <si>
    <t>Karang Ambun</t>
  </si>
  <si>
    <t>085251250333</t>
  </si>
  <si>
    <t>dhalillahkh@gmail.com</t>
  </si>
  <si>
    <t>800/105/SLBN-TR/BR/VIII/2015</t>
  </si>
  <si>
    <t>Hadi Prabowo</t>
  </si>
  <si>
    <t>758556054727000</t>
  </si>
  <si>
    <t>Membantu mengelola perpustakaan, Membantu bendaahara ABK dan BOP, Tugas atasan langsung</t>
  </si>
  <si>
    <t>Bankaltim</t>
  </si>
  <si>
    <t>0062406241</t>
  </si>
  <si>
    <t>Erny Fitriani</t>
  </si>
  <si>
    <t xml:space="preserve">Berau                             </t>
  </si>
  <si>
    <t>6403056509760006</t>
  </si>
  <si>
    <t>6257754658300003</t>
  </si>
  <si>
    <t>Guru Kelas</t>
  </si>
  <si>
    <t>Jl. Pulau Panjang</t>
  </si>
  <si>
    <t>081350875976</t>
  </si>
  <si>
    <t>ernyfitriany766@gmail.com</t>
  </si>
  <si>
    <t>800/202/SLBN-TR/BR/I/2008</t>
  </si>
  <si>
    <t>Hj Bujang Salmiah</t>
  </si>
  <si>
    <t>163565518727000</t>
  </si>
  <si>
    <t>Kelas IX Tuna Netra (A)</t>
  </si>
  <si>
    <t>0062406232</t>
  </si>
  <si>
    <t>Laki laki</t>
  </si>
  <si>
    <t xml:space="preserve">Tanjung Redeb                 </t>
  </si>
  <si>
    <t>6403050307900001</t>
  </si>
  <si>
    <t>0554 21863</t>
  </si>
  <si>
    <t>081347308885</t>
  </si>
  <si>
    <t>Hadiprabowo109@gmail.com</t>
  </si>
  <si>
    <t>821.1/167/SLBN-TR/BR/III/2013</t>
  </si>
  <si>
    <t>Hj. Sitti Hasanah</t>
  </si>
  <si>
    <t>Dalilah Khoirotul H</t>
  </si>
  <si>
    <t>718817844727000</t>
  </si>
  <si>
    <t>Staff sarpras, Membantu bendahara ABK dan BOP, Tugas atas langsung</t>
  </si>
  <si>
    <t>0062406259</t>
  </si>
  <si>
    <t>Yuli Lestari</t>
  </si>
  <si>
    <t xml:space="preserve">Teluk Bayur                 </t>
  </si>
  <si>
    <t>6403096707890001</t>
  </si>
  <si>
    <t>Jl. Cendrawasih 2</t>
  </si>
  <si>
    <t>082158591409</t>
  </si>
  <si>
    <t>yulilestari84@yahoo.com</t>
  </si>
  <si>
    <t>422/011/SLBN-TR/BR/I/2012</t>
  </si>
  <si>
    <t>Siti Fatimah (Alm )</t>
  </si>
  <si>
    <t>Sugiyono</t>
  </si>
  <si>
    <t>Kepala ruang pengembangan diri, pengelola ruangan, Pengembangan diri, Membantu mengajar kelas II-III tuna grahita, Tugas atasan langsung</t>
  </si>
  <si>
    <t>0062406348</t>
  </si>
  <si>
    <t>Yulia Suwarliani</t>
  </si>
  <si>
    <t>S.Pd.AUD</t>
  </si>
  <si>
    <t xml:space="preserve">Bandung                   </t>
  </si>
  <si>
    <t>6403057108690002</t>
  </si>
  <si>
    <t>8163747649300063</t>
  </si>
  <si>
    <t>Jl. Durian III</t>
  </si>
  <si>
    <t>081350665141</t>
  </si>
  <si>
    <t>yuliasuwarliani@gmail.com</t>
  </si>
  <si>
    <t>800/530/SLBN-TR/BR/X/2009</t>
  </si>
  <si>
    <t>Euis Trisna Sumiarti</t>
  </si>
  <si>
    <t>Rudolf Purnomo</t>
  </si>
  <si>
    <t>AUD</t>
  </si>
  <si>
    <t>Guru Kelas TKLB</t>
  </si>
  <si>
    <t>0062403951</t>
  </si>
  <si>
    <t>Bambang Widiyatno</t>
  </si>
  <si>
    <t xml:space="preserve">Tarakan                   </t>
  </si>
  <si>
    <t>6403050209840003</t>
  </si>
  <si>
    <t>Jl.Sultan Agung Gang.Padepokan</t>
  </si>
  <si>
    <t>Sungai Bedungun</t>
  </si>
  <si>
    <t>085151335555</t>
  </si>
  <si>
    <t>bambangwidiyatno46@gmail.com</t>
  </si>
  <si>
    <t>800/512/Disdik-Kab/2009</t>
  </si>
  <si>
    <t>Hartisyah</t>
  </si>
  <si>
    <t>Mariana</t>
  </si>
  <si>
    <t>714293289727000</t>
  </si>
  <si>
    <t xml:space="preserve">Bahasa </t>
  </si>
  <si>
    <t>Driver, Mengkoordinir kebersihan sekolah, Pengelola koperasi, Pengantar surat, Tugas atasan langsung</t>
  </si>
  <si>
    <t>0062406267</t>
  </si>
  <si>
    <t>Rosmalina Kampo.</t>
  </si>
  <si>
    <t xml:space="preserve">Jakarta                            </t>
  </si>
  <si>
    <t>3173014707860015</t>
  </si>
  <si>
    <t xml:space="preserve">Jl Dermaga Perumahan Korpri I </t>
  </si>
  <si>
    <t>085715311040</t>
  </si>
  <si>
    <t>kendedes0707@gmail.com</t>
  </si>
  <si>
    <t>422/006/SLBN-TR/BR/I/2013</t>
  </si>
  <si>
    <t>Azizah</t>
  </si>
  <si>
    <t>Okix Hadi Jaya</t>
  </si>
  <si>
    <t>779178144034000</t>
  </si>
  <si>
    <t>Desain Mode</t>
  </si>
  <si>
    <t>Kepala ruang keterampilan, Pengelola bahan keterampilan, Membantu mengajar bidang keterampilan, Tugas atasan langsung</t>
  </si>
  <si>
    <t>Rosmalina Kampo</t>
  </si>
  <si>
    <t>0062406330</t>
  </si>
  <si>
    <t xml:space="preserve">Salasiah, </t>
  </si>
  <si>
    <t xml:space="preserve">Ujung Pandang              </t>
  </si>
  <si>
    <t>6403056305790004</t>
  </si>
  <si>
    <t>30405468179001</t>
  </si>
  <si>
    <t>Jl Mangga III Gang Batu  Redi</t>
  </si>
  <si>
    <t>081350236667</t>
  </si>
  <si>
    <t>chiaabdul1979@gmail.com</t>
  </si>
  <si>
    <t>814.1.83/174/SLBN-TR/BR/I/2013</t>
  </si>
  <si>
    <t>Indo Tuo</t>
  </si>
  <si>
    <t>718817604727000</t>
  </si>
  <si>
    <t>Pengelola Koperasi</t>
  </si>
  <si>
    <t>Guru Mapel PAI Kelas I, II, III Austis (Q), VII, VIII, IX Tuna rungu (B), Tuna Grahita (C), IX Tuna netra (A)</t>
  </si>
  <si>
    <t>Salasiah</t>
  </si>
  <si>
    <t>0062406291</t>
  </si>
  <si>
    <t>Glawdia Caisar</t>
  </si>
  <si>
    <t xml:space="preserve">Jakarta                         </t>
  </si>
  <si>
    <t>3175054112850006</t>
  </si>
  <si>
    <t>Jl Durian III Perum Saibin</t>
  </si>
  <si>
    <t>glawyou_1000@yahoo.com</t>
  </si>
  <si>
    <t>422/048/SLBN-TR/BR/VI/2015</t>
  </si>
  <si>
    <t>Sri Wuryanti</t>
  </si>
  <si>
    <t>Wahyu Susanto</t>
  </si>
  <si>
    <t>885524256451000</t>
  </si>
  <si>
    <t>Pendidikan Anak Usia Dini</t>
  </si>
  <si>
    <t>Kelas I Tuna grahita (C)</t>
  </si>
  <si>
    <t>0062406313</t>
  </si>
  <si>
    <t>Nawa Herrahayuni</t>
  </si>
  <si>
    <t xml:space="preserve">Cilacap                           </t>
  </si>
  <si>
    <t>6403096907790001</t>
  </si>
  <si>
    <t>Jl Statsiun II</t>
  </si>
  <si>
    <t>nawanisakiki@com</t>
  </si>
  <si>
    <t>811.1/1583-SK/SLBN-TR/BR/I/2005</t>
  </si>
  <si>
    <t>Bupati</t>
  </si>
  <si>
    <t xml:space="preserve">Sri Rahayu </t>
  </si>
  <si>
    <t>Agus Ariadi</t>
  </si>
  <si>
    <t>665710794727000</t>
  </si>
  <si>
    <t>Kepala perpustakaan, Pengelola perputakaan, Membantu mengelola dana  ABK dan BOP, Tugas atasan langsung</t>
  </si>
  <si>
    <t>0062406283</t>
  </si>
  <si>
    <t>Budi Siswanto</t>
  </si>
  <si>
    <t xml:space="preserve">Tenggarong                    </t>
  </si>
  <si>
    <t>6403050901870003</t>
  </si>
  <si>
    <t>1441765667200002</t>
  </si>
  <si>
    <t>Jl.Pulau Sambit</t>
  </si>
  <si>
    <t>siswantobudi00@gmail.com</t>
  </si>
  <si>
    <t>125/900/1 SMK 1/01/2005</t>
  </si>
  <si>
    <t>Sumarni</t>
  </si>
  <si>
    <t>Elis Rowana Sari</t>
  </si>
  <si>
    <t>718817927727000</t>
  </si>
  <si>
    <t>Satpam, Penerima tamu dan mengarahkan, Membantu waka sarpras, Membantu mengantar surat, Membantu kelestarian taman, Tugas atasan langsung</t>
  </si>
  <si>
    <t>0062406275</t>
  </si>
  <si>
    <t>Ilham Laksana Putra</t>
  </si>
  <si>
    <t xml:space="preserve">Tanjung Redeb            </t>
  </si>
  <si>
    <t>6403051409840003</t>
  </si>
  <si>
    <t>Jl Pulau Sambit</t>
  </si>
  <si>
    <t>zackyrafa@gmail.com</t>
  </si>
  <si>
    <t>422/039/CDP-TR/SDLB.016/BR/I/2006</t>
  </si>
  <si>
    <t>Sarintan</t>
  </si>
  <si>
    <t>Mariana K Mentemas</t>
  </si>
  <si>
    <t>719082778727000</t>
  </si>
  <si>
    <t>Input data sarpras, Pembantu bendahara BOSDA dan BOSNAS, Regestrasi barang, Tugas atasan langsung</t>
  </si>
  <si>
    <t>0062406356</t>
  </si>
  <si>
    <t>Lusdiana</t>
  </si>
  <si>
    <t xml:space="preserve">Berau                       </t>
  </si>
  <si>
    <t>24 November 1985</t>
  </si>
  <si>
    <t>6403056411860001</t>
  </si>
  <si>
    <t>Jl Pulau Semama Gang Ketapi</t>
  </si>
  <si>
    <t>fhinaunyugalawslalu@yahoo.com</t>
  </si>
  <si>
    <t>814.1.03/01/Disdik-Kab/Dikmen</t>
  </si>
  <si>
    <t>Rusimah</t>
  </si>
  <si>
    <t>Penjualan</t>
  </si>
  <si>
    <t>driver, Mengkoordinir kebersihan sekolah, Pengelola koperasi, Pengantar surat, Tugas atasan langsung</t>
  </si>
  <si>
    <t>0062406321</t>
  </si>
  <si>
    <t>Agustam</t>
  </si>
  <si>
    <t>6403050808900001</t>
  </si>
  <si>
    <t>Jl. Murjani II</t>
  </si>
  <si>
    <t>0554 2021194</t>
  </si>
  <si>
    <t>085347526707</t>
  </si>
  <si>
    <t>Agustam.aaeby@yahoo.com</t>
  </si>
  <si>
    <t>422/011/SLBN_TR/BR/X/2015</t>
  </si>
  <si>
    <t>Naidah</t>
  </si>
  <si>
    <t>Guru kelas III dan V Autis (Q)</t>
  </si>
  <si>
    <t>0062406216</t>
  </si>
  <si>
    <t>DAFTAR USULAN</t>
  </si>
  <si>
    <t>EVIE PRATIWI</t>
  </si>
  <si>
    <t>6403097004940001</t>
  </si>
  <si>
    <t>Guru Honor Sekolah</t>
  </si>
  <si>
    <t>JL KAMPUNG CINA</t>
  </si>
  <si>
    <t>08563418794</t>
  </si>
  <si>
    <t>pratiwiwievie@gmail.com</t>
  </si>
  <si>
    <t>800/354/SMAN.1-Berau/IX/2017</t>
  </si>
  <si>
    <t>Sekolah</t>
  </si>
  <si>
    <t>Tati</t>
  </si>
  <si>
    <t>Rosadi</t>
  </si>
  <si>
    <t>6403055108590002</t>
  </si>
  <si>
    <t>Jl. M. Sahrai Gang Bangau</t>
  </si>
  <si>
    <t>085397024675</t>
  </si>
  <si>
    <t>rosadi.berau@gmail.com</t>
  </si>
  <si>
    <t>800/249/SMAN.1/II/2016</t>
  </si>
  <si>
    <t>Nursaini</t>
  </si>
  <si>
    <t>FKIP Matematika</t>
  </si>
  <si>
    <t>ROSADI</t>
  </si>
  <si>
    <t>0062277491</t>
  </si>
  <si>
    <t>Dita Trivera Wulandari</t>
  </si>
  <si>
    <t>6403056102940002</t>
  </si>
  <si>
    <t>Tenaga Honor Sekolah</t>
  </si>
  <si>
    <t xml:space="preserve">Jl. Durian III Gg. Nyiur Gading </t>
  </si>
  <si>
    <t>085386749984</t>
  </si>
  <si>
    <t>dita.trivera@gmail.com</t>
  </si>
  <si>
    <t>800/003/SMAN.1-Berau/I/2018</t>
  </si>
  <si>
    <t>02/01/2018</t>
  </si>
  <si>
    <t>Suria Ningsih</t>
  </si>
  <si>
    <t>FKIP Ekonomi</t>
  </si>
  <si>
    <t>BNI</t>
  </si>
  <si>
    <t>DITA TRIVERA WULANDARI</t>
  </si>
  <si>
    <t>0255501802</t>
  </si>
  <si>
    <t>Endah Fitriani</t>
  </si>
  <si>
    <t>6403094303940001</t>
  </si>
  <si>
    <t>JL. MARSMA ISWAHYUDI GG. RAJAWALI</t>
  </si>
  <si>
    <t>081347139656</t>
  </si>
  <si>
    <t>fitriani_endah@yahoo.com</t>
  </si>
  <si>
    <t>800/80.3/ SMAN 2 - SK/VII/ 2017</t>
  </si>
  <si>
    <t>2017-07-01</t>
  </si>
  <si>
    <t>SUMASE</t>
  </si>
  <si>
    <t>83.707.688.4-727.000</t>
  </si>
  <si>
    <t>Pendidikan Pancasila dan Kewarganegaraan, Antropologi, Sosiologi</t>
  </si>
  <si>
    <t>Aminah .R. Nyakman</t>
  </si>
  <si>
    <t>6403054606990003</t>
  </si>
  <si>
    <t>JL. Marsma Iswahyudi Gg. Rajawali</t>
  </si>
  <si>
    <t>082350262769</t>
  </si>
  <si>
    <t>AminahR.Nyakman100@yahoo.com</t>
  </si>
  <si>
    <t>800/80.4/SMAN2-SK/VII/2017</t>
  </si>
  <si>
    <t>ROSITA</t>
  </si>
  <si>
    <t>83.714.168.8-727.000</t>
  </si>
  <si>
    <t>Linda Mamarita</t>
  </si>
  <si>
    <t>6403096610910001</t>
  </si>
  <si>
    <t>Jl.M. Iswahyudi GG Rajawali</t>
  </si>
  <si>
    <t>085345509819</t>
  </si>
  <si>
    <t>linda_mamarita@yahoo.co.id</t>
  </si>
  <si>
    <t>424/012/SK/SMK/IC/VII/2014</t>
  </si>
  <si>
    <t>2014-07-01</t>
  </si>
  <si>
    <t>TAMASIAH</t>
  </si>
  <si>
    <t>JUHANSA</t>
  </si>
  <si>
    <t>swasta</t>
  </si>
  <si>
    <t>75.924.168.0-727.000</t>
  </si>
  <si>
    <t>Bimbingan dan Konseling/Konselor (BP/BK)</t>
  </si>
  <si>
    <t>Rizka Zaenur Rohmah</t>
  </si>
  <si>
    <t>3305106708910002</t>
  </si>
  <si>
    <t>Jl.M. Iswahyudi RT 001</t>
  </si>
  <si>
    <t>081521947048</t>
  </si>
  <si>
    <t>rizka_zrgeo09@yahoo.com</t>
  </si>
  <si>
    <t>244/800/SMAN2-SK/XI/2016</t>
  </si>
  <si>
    <t>2016-11-01</t>
  </si>
  <si>
    <t>Siti Maryam</t>
  </si>
  <si>
    <t>BADRIYANTO</t>
  </si>
  <si>
    <t>Antropologi, Lintas Minat Antropologi, Geografi, Lintas Minat Geografi</t>
  </si>
  <si>
    <t>Eric Foreman</t>
  </si>
  <si>
    <t>M.Pd</t>
  </si>
  <si>
    <t>6403091704920001</t>
  </si>
  <si>
    <t>JL. MASJID LAMA</t>
  </si>
  <si>
    <t>085247853822</t>
  </si>
  <si>
    <t>eric_piece08@yahoo.co.id</t>
  </si>
  <si>
    <t>800/80.2/SMAn 2 - SK/VII/2017</t>
  </si>
  <si>
    <t>NURBAYAH</t>
  </si>
  <si>
    <t>Larasati Ni'matumnaja</t>
  </si>
  <si>
    <t>Slamet Surono</t>
  </si>
  <si>
    <t>6403031612199500</t>
  </si>
  <si>
    <t>JL. Sejahtera  no 43</t>
  </si>
  <si>
    <t>085751993845</t>
  </si>
  <si>
    <t>slametsurono87@gmail.com</t>
  </si>
  <si>
    <t>800/8.4/SMAN 2 - BR - SK/VII/2017</t>
  </si>
  <si>
    <t>2016-08-10</t>
  </si>
  <si>
    <t>TASUMI</t>
  </si>
  <si>
    <t>Salim Nur Permadi</t>
  </si>
  <si>
    <t>6403090302930002</t>
  </si>
  <si>
    <t>Jl. M Iswahyudi Gg.Merak</t>
  </si>
  <si>
    <t>085249361926</t>
  </si>
  <si>
    <t>salimnurpermadi@gmail.com</t>
  </si>
  <si>
    <t>800/01/SMAN 2 - BR- SK/I/2018</t>
  </si>
  <si>
    <t>2018-01-02</t>
  </si>
  <si>
    <t>0062421576</t>
  </si>
  <si>
    <t>Edi Agus Muhridin</t>
  </si>
  <si>
    <t>Biduk-biduk</t>
  </si>
  <si>
    <t>6403051808940002</t>
  </si>
  <si>
    <t>Jl. P.Diguna</t>
  </si>
  <si>
    <t>Kampung Bugis</t>
  </si>
  <si>
    <t>082254580654</t>
  </si>
  <si>
    <t>Edyberau99@gmail.com</t>
  </si>
  <si>
    <t>800/01.1/SMAN 2 -BR- SK /I / 2018</t>
  </si>
  <si>
    <t>Arbayah</t>
  </si>
  <si>
    <t>Mesin Otomotif</t>
  </si>
  <si>
    <t>0062421568</t>
  </si>
  <si>
    <t>Muhammad Nur Ikhsan</t>
  </si>
  <si>
    <t>6403030604990001</t>
  </si>
  <si>
    <t>Jl. Mangkubumi Sambalung</t>
  </si>
  <si>
    <t>085349447620</t>
  </si>
  <si>
    <t>ikhsanatph8@gmail.com</t>
  </si>
  <si>
    <t>800/01.2/ SMAN 2 - BR- SK /I / 2018</t>
  </si>
  <si>
    <t>Netty Herawaty</t>
  </si>
  <si>
    <t>Agribisnis Tanaman Pangan dan Hortikultura</t>
  </si>
  <si>
    <t>00624421550</t>
  </si>
  <si>
    <t>Suroto</t>
  </si>
  <si>
    <t>6403051210830004</t>
  </si>
  <si>
    <t>081347052672</t>
  </si>
  <si>
    <t>800/01.3 / SMAN 2 - BR- SK / I / 2018</t>
  </si>
  <si>
    <t>Ayu Dewi Pikasari</t>
  </si>
  <si>
    <t>89.254.001.4-727.000</t>
  </si>
  <si>
    <t>1122061627</t>
  </si>
  <si>
    <t>Harman</t>
  </si>
  <si>
    <t>6403031506930000</t>
  </si>
  <si>
    <t xml:space="preserve">Jl. Nelayan Desa Pilanjau </t>
  </si>
  <si>
    <t>Pilanjau</t>
  </si>
  <si>
    <t>081250717280</t>
  </si>
  <si>
    <t>harmanmm0@gmail.com</t>
  </si>
  <si>
    <t>800/01.4/ SMAN 2 BR- SK / I / 2018</t>
  </si>
  <si>
    <t>2017-01-07</t>
  </si>
  <si>
    <t>Maswali</t>
  </si>
  <si>
    <t>Geografi dan Sejarah</t>
  </si>
  <si>
    <t>0062420472</t>
  </si>
  <si>
    <t>Hagsa Dewandaka</t>
  </si>
  <si>
    <t>16 September 1993</t>
  </si>
  <si>
    <t>6403021609930000</t>
  </si>
  <si>
    <t>Tenaga Honor sekolah</t>
  </si>
  <si>
    <t>081346261393</t>
  </si>
  <si>
    <t>wandadaka@gmail.com</t>
  </si>
  <si>
    <t>800/5763.Disdikbud-Ia/2017</t>
  </si>
  <si>
    <t>SEKOLAH</t>
  </si>
  <si>
    <t>WATI LEONITA</t>
  </si>
  <si>
    <t>74.505.035.1-727.000</t>
  </si>
  <si>
    <t>Sejarah dan Geografi</t>
  </si>
  <si>
    <t>HAGSA DEWANDAKA</t>
  </si>
  <si>
    <t>1192034660</t>
  </si>
  <si>
    <t>M. Salim</t>
  </si>
  <si>
    <t>6403022806780001</t>
  </si>
  <si>
    <t>Pesuruh/Office boy</t>
  </si>
  <si>
    <t>Jl. MAKARTI</t>
  </si>
  <si>
    <t>SUKA MURYA</t>
  </si>
  <si>
    <t>085252382691</t>
  </si>
  <si>
    <t>800/5764/Disdikbud-Ia/2017</t>
  </si>
  <si>
    <t>NORMAS</t>
  </si>
  <si>
    <t>ROHATIN</t>
  </si>
  <si>
    <t>M. SALIM</t>
  </si>
  <si>
    <t>1192034538</t>
  </si>
  <si>
    <t>Agusta Danang Wijaya</t>
  </si>
  <si>
    <t>JEMBER</t>
  </si>
  <si>
    <t>3509191508900003</t>
  </si>
  <si>
    <t>JL. MURJANI III PERUM KORPRI</t>
  </si>
  <si>
    <t>085250648215</t>
  </si>
  <si>
    <t>agustadanangwijaya@gmail.com</t>
  </si>
  <si>
    <t>443/246/Kepsek</t>
  </si>
  <si>
    <t>WIDYANI</t>
  </si>
  <si>
    <t>Pembina OSN Kebumian</t>
  </si>
  <si>
    <t>AGUSTA DANANG WIJAYA</t>
  </si>
  <si>
    <t>0062417692</t>
  </si>
  <si>
    <t>Hayrul Syam</t>
  </si>
  <si>
    <t>6403052001900004</t>
  </si>
  <si>
    <t>JL. LETKOL JAYADI GG DARUSALAM</t>
  </si>
  <si>
    <t>081250055269</t>
  </si>
  <si>
    <t>hayrul.syam@yahoo.co.id</t>
  </si>
  <si>
    <t>800/151/Kepsek</t>
  </si>
  <si>
    <t>JUKIRA</t>
  </si>
  <si>
    <t>Pembina KIR Sains</t>
  </si>
  <si>
    <t>HAYRUL SYAM</t>
  </si>
  <si>
    <t>0062413387</t>
  </si>
  <si>
    <t>El Syifa Mawaddah</t>
  </si>
  <si>
    <t>6403056512920001</t>
  </si>
  <si>
    <t>JL. PULAU PANJANG GG GUNUNG AGUNG</t>
  </si>
  <si>
    <t>082236894773</t>
  </si>
  <si>
    <t>elsyifamawaddah600@gmail.com</t>
  </si>
  <si>
    <t>800/342/Kepsek</t>
  </si>
  <si>
    <t>LILIS</t>
  </si>
  <si>
    <t>INDRA PERDANA</t>
  </si>
  <si>
    <t>Bahasa Indonesia, Sejarah Indonesia</t>
  </si>
  <si>
    <t>EL SYIFA MAWADDAH</t>
  </si>
  <si>
    <t>0062414731</t>
  </si>
  <si>
    <t>Muhammad Diki Hidayat</t>
  </si>
  <si>
    <t>LABANAN JAYA</t>
  </si>
  <si>
    <t>6403090608920002</t>
  </si>
  <si>
    <t>JL. GELATIK</t>
  </si>
  <si>
    <t>082358222622</t>
  </si>
  <si>
    <t>dikih30@gmail.com</t>
  </si>
  <si>
    <t>800/358/Kepsek</t>
  </si>
  <si>
    <t>DINDA MARIATI</t>
  </si>
  <si>
    <t>PENDIDIKAN KIMIA</t>
  </si>
  <si>
    <t>Kimian</t>
  </si>
  <si>
    <t>MUHAMMAD DIKI HIDAYAT</t>
  </si>
  <si>
    <t>0062417684</t>
  </si>
  <si>
    <t>Ahmad Syaddad</t>
  </si>
  <si>
    <t>6403050507920001</t>
  </si>
  <si>
    <t>JL. DIPONEGORO GG SIHAN</t>
  </si>
  <si>
    <t>082148069366</t>
  </si>
  <si>
    <t>gunta5792@gmail.com</t>
  </si>
  <si>
    <t>800/002/SMAN 4/I/2018</t>
  </si>
  <si>
    <t>NOORMAINAH</t>
  </si>
  <si>
    <t>MANAJEMEN PENDIDIKAN</t>
  </si>
  <si>
    <t>Pend. Agama Islamn</t>
  </si>
  <si>
    <t>AHMAD SYADDAD</t>
  </si>
  <si>
    <t>0062419920</t>
  </si>
  <si>
    <t>Nurul Liyani</t>
  </si>
  <si>
    <t>6403096107930002</t>
  </si>
  <si>
    <t>Jl. Rambutan</t>
  </si>
  <si>
    <t>082250219497</t>
  </si>
  <si>
    <t>Liyaninurul4@gmail.com</t>
  </si>
  <si>
    <t>800/230.2/SMAN5/IX/2016</t>
  </si>
  <si>
    <t>Rohini</t>
  </si>
  <si>
    <t>PGSD</t>
  </si>
  <si>
    <t>Guru piket</t>
  </si>
  <si>
    <t>Bahasa Indonesia &amp; Sejarah</t>
  </si>
  <si>
    <t>0062664355</t>
  </si>
  <si>
    <t>SMAN 5 Berau</t>
  </si>
  <si>
    <t>Feri Febrian Susanto</t>
  </si>
  <si>
    <t>6472081809860002</t>
  </si>
  <si>
    <t>2250764666120003</t>
  </si>
  <si>
    <t>Jl. P. Diponegoro Gg. Syarkiah</t>
  </si>
  <si>
    <t>085246393311</t>
  </si>
  <si>
    <t>ferifebriansusanto@yahoo.co.id</t>
  </si>
  <si>
    <t>800/222/SMAN5/VII/2016</t>
  </si>
  <si>
    <t>Syarkiah</t>
  </si>
  <si>
    <t>Cerai Hidup</t>
  </si>
  <si>
    <t>732929005722000</t>
  </si>
  <si>
    <t>Pend. Bahasa, Sastra Indonesia dan Daerah</t>
  </si>
  <si>
    <t>Guru Mapel, Ektrakurikuler</t>
  </si>
  <si>
    <t>Feri Febrian Susanto, S.Pd.</t>
  </si>
  <si>
    <t>0012543859</t>
  </si>
  <si>
    <t>Junaida</t>
  </si>
  <si>
    <t>6403064605000001</t>
  </si>
  <si>
    <t>Jl. H. ARM Ayoeb</t>
  </si>
  <si>
    <t>081258266479</t>
  </si>
  <si>
    <t>800/209.1/SMAN5/XII/2017</t>
  </si>
  <si>
    <t>Hj. Syahria</t>
  </si>
  <si>
    <t>Syahbuddin</t>
  </si>
  <si>
    <t>Putus  SD</t>
  </si>
  <si>
    <t>Pasar Adji Dilayas</t>
  </si>
  <si>
    <t>1552234592</t>
  </si>
  <si>
    <t>Nurma Indriyani</t>
  </si>
  <si>
    <t>Kelurahan Waru</t>
  </si>
  <si>
    <t>6403095007930001</t>
  </si>
  <si>
    <t>082257428131</t>
  </si>
  <si>
    <t>nurmaindriyani93@gmail.com</t>
  </si>
  <si>
    <t>800/205.1/SMAN5/XII/2017</t>
  </si>
  <si>
    <t>Ririn</t>
  </si>
  <si>
    <t>Matematika, Prakarya dan Kewirausahaan</t>
  </si>
  <si>
    <t>Meidah Sri Utami Adi</t>
  </si>
  <si>
    <t>Perempuan</t>
  </si>
  <si>
    <t>26 tahun 8 bulan</t>
  </si>
  <si>
    <t>6403066005910002</t>
  </si>
  <si>
    <t>Jl. H. A. R. M Ayoeb</t>
  </si>
  <si>
    <t>082155699025</t>
  </si>
  <si>
    <t>memey_chan9118@yahoo.co.id</t>
  </si>
  <si>
    <t>800/314.1/SMAN5/XII/2017</t>
  </si>
  <si>
    <t>Hj. Khadijah KK</t>
  </si>
  <si>
    <t>Irwan</t>
  </si>
  <si>
    <t>25 tahun 7 bulan</t>
  </si>
  <si>
    <t>6403062308920001</t>
  </si>
  <si>
    <t xml:space="preserve">jl.bulungan </t>
  </si>
  <si>
    <t>082393145157</t>
  </si>
  <si>
    <t>iwan23isco@gmail.com</t>
  </si>
  <si>
    <t>800/316.1/SMAN5/XII/2017</t>
  </si>
  <si>
    <t>Hasmiati</t>
  </si>
  <si>
    <t>pendidikan Olahraga</t>
  </si>
  <si>
    <t>Penjaskes</t>
  </si>
  <si>
    <t>Santi Werdiningsih</t>
  </si>
  <si>
    <t>Ngawi</t>
  </si>
  <si>
    <t>6403095705890001</t>
  </si>
  <si>
    <t>JL. Kemuning</t>
  </si>
  <si>
    <t>081649403816</t>
  </si>
  <si>
    <t>Werdiningsih1989@gmail.com</t>
  </si>
  <si>
    <t>421.3/083/SMAN6-BR/X/2016</t>
  </si>
  <si>
    <t>01/10/2016</t>
  </si>
  <si>
    <t>Suprihatin</t>
  </si>
  <si>
    <t>Eko Prianto</t>
  </si>
  <si>
    <t>Pendidikan Bahasa Indonesia, Sastra Indonesia Dan Daerah</t>
  </si>
  <si>
    <t>Marlina Wati</t>
  </si>
  <si>
    <t>Bena Baru</t>
  </si>
  <si>
    <t>6403035009910001</t>
  </si>
  <si>
    <t>Jl. Bena Baru</t>
  </si>
  <si>
    <t>085754987480</t>
  </si>
  <si>
    <t>alpiusmarlinawati@yahoo.com</t>
  </si>
  <si>
    <t>421.3/084/SMAN6-BR/VII/2017</t>
  </si>
  <si>
    <t>01/07/2017</t>
  </si>
  <si>
    <t>Tabeta</t>
  </si>
  <si>
    <t>Matematika Peminatan/Wajib</t>
  </si>
  <si>
    <t>Adji Dilayas</t>
  </si>
  <si>
    <t>Daria Oktavia Elda</t>
  </si>
  <si>
    <t>Kipo</t>
  </si>
  <si>
    <t>5319066510920001</t>
  </si>
  <si>
    <t>082247412418</t>
  </si>
  <si>
    <t>DARNI.ELDA1992@gmail.com</t>
  </si>
  <si>
    <t>421.3/113/SMAN6-BR/VII/2017</t>
  </si>
  <si>
    <t>Rovina Ganur</t>
  </si>
  <si>
    <t>Stefanus Nong Sensi</t>
  </si>
  <si>
    <t>Sejarah Indonesia dan Sejarah Peminatan</t>
  </si>
  <si>
    <t>Triningsih</t>
  </si>
  <si>
    <t>6403096309950002</t>
  </si>
  <si>
    <t>Jl. Siwalan</t>
  </si>
  <si>
    <t>081347564283</t>
  </si>
  <si>
    <t>triningsihtri003@gmail.com</t>
  </si>
  <si>
    <t>421.3/009/SMAN6-BR/I/2018</t>
  </si>
  <si>
    <t>Jirah Giati</t>
  </si>
  <si>
    <t>Pendidikan MIPA</t>
  </si>
  <si>
    <t>Kas UNMUL</t>
  </si>
  <si>
    <t>0017810413</t>
  </si>
  <si>
    <t>Samsudin</t>
  </si>
  <si>
    <t>Senambah</t>
  </si>
  <si>
    <t>6403091509890001</t>
  </si>
  <si>
    <t>Jl. Pipit</t>
  </si>
  <si>
    <t>081347551044</t>
  </si>
  <si>
    <t>samsuddinuddin367@gmail.com</t>
  </si>
  <si>
    <t>421.3/011/SMAN6-BR/I/2018</t>
  </si>
  <si>
    <t>Sapiah</t>
  </si>
  <si>
    <t>PENJASKESREK</t>
  </si>
  <si>
    <t>Sempaja</t>
  </si>
  <si>
    <t>Syamsudin</t>
  </si>
  <si>
    <t>Octaviani Istikharoh</t>
  </si>
  <si>
    <t>6403055210950001</t>
  </si>
  <si>
    <t>Jl. Manimbora No. 268</t>
  </si>
  <si>
    <t>081320484113</t>
  </si>
  <si>
    <t>vhyaochaa@yahoo.co.id</t>
  </si>
  <si>
    <t>421.3/013/SMAN6-BR/I/2018</t>
  </si>
  <si>
    <t>Ilah Kusumawati</t>
  </si>
  <si>
    <t>Pendidikan Bahasa Indonesia dan Sastra Indonesia</t>
  </si>
  <si>
    <t>0062420286</t>
  </si>
  <si>
    <t>Jurnalis</t>
  </si>
  <si>
    <t>6403031001920001</t>
  </si>
  <si>
    <t>Jl. Pesayan</t>
  </si>
  <si>
    <t>Pesayan</t>
  </si>
  <si>
    <t>085398269782</t>
  </si>
  <si>
    <t>jurnalis.math10@gmail.com</t>
  </si>
  <si>
    <t>421.3/012/SMAN6-BR/I/2018</t>
  </si>
  <si>
    <t>Martina</t>
  </si>
  <si>
    <t>0062420316</t>
  </si>
  <si>
    <t>Lombok Timur</t>
  </si>
  <si>
    <t>6403092107780001</t>
  </si>
  <si>
    <t>082331084776</t>
  </si>
  <si>
    <t>anitahandayani1988@gmail.com</t>
  </si>
  <si>
    <t>421.3/024/SMAN6-BR/I/2018</t>
  </si>
  <si>
    <t>16/01/2018</t>
  </si>
  <si>
    <t>Nuraini</t>
  </si>
  <si>
    <t>Kas Unit Labanan</t>
  </si>
  <si>
    <t>0062351934</t>
  </si>
  <si>
    <t>422/1622/03.1/SMA.7/I/2016</t>
  </si>
  <si>
    <t>Sri Wahyuni</t>
  </si>
  <si>
    <t>6403034612940001</t>
  </si>
  <si>
    <t xml:space="preserve">                </t>
  </si>
  <si>
    <t>Jl. Akasia Mandiri, Perum. SAODA, Sambaliung</t>
  </si>
  <si>
    <t>085398849193</t>
  </si>
  <si>
    <t>sriewahyuni55@yahoo.com</t>
  </si>
  <si>
    <t>Sejarah/Sejarah Indonesia</t>
  </si>
  <si>
    <t>Sri Wahyuni, S.Pd</t>
  </si>
  <si>
    <t>155 223 4975</t>
  </si>
  <si>
    <t>422/501/03.1/SMA.7/VII/2016</t>
  </si>
  <si>
    <t>Sulis Setiowati</t>
  </si>
  <si>
    <t>Tegal</t>
  </si>
  <si>
    <t>3328147107910002</t>
  </si>
  <si>
    <t>JL. H.A.R.M. Ayoeb, Gg. Ketapang</t>
  </si>
  <si>
    <t>085225855670</t>
  </si>
  <si>
    <t>sulissetiowati375@gmail.com</t>
  </si>
  <si>
    <t>Daroyah</t>
  </si>
  <si>
    <t>Pendidikan Bahasa Sastra Indonesia &amp; Daerah</t>
  </si>
  <si>
    <t>Bahasa Indonesia /Mulok pertanian</t>
  </si>
  <si>
    <t>Sulis Setiowati, S.Pd</t>
  </si>
  <si>
    <t>155 223 4100</t>
  </si>
  <si>
    <t>Rika Wahidatus Solikhah</t>
  </si>
  <si>
    <t>3521096401880002</t>
  </si>
  <si>
    <t>Jl. Bukit Berbunga</t>
  </si>
  <si>
    <t>08115961166</t>
  </si>
  <si>
    <t>Rikaws85@yahoo.com</t>
  </si>
  <si>
    <t>Kustiyah</t>
  </si>
  <si>
    <t>Tigor Prima Septany</t>
  </si>
  <si>
    <t>155 223 4096</t>
  </si>
  <si>
    <t>422/871/03.1/ SMA.7/X/2017</t>
  </si>
  <si>
    <t>Dody Wijaya</t>
  </si>
  <si>
    <t>6403051305950003</t>
  </si>
  <si>
    <t>Jl. Durian III, Gg. Pinang Merah</t>
  </si>
  <si>
    <t>082250809716</t>
  </si>
  <si>
    <t>wijayadody36@yahoo.co.id</t>
  </si>
  <si>
    <t>422/871/03.1/SMA.7/X/2017</t>
  </si>
  <si>
    <t>Siti Juabaidah</t>
  </si>
  <si>
    <t>Usaha Perjalanan Wisata</t>
  </si>
  <si>
    <t>Doddy Wijaya</t>
  </si>
  <si>
    <t>155 223 4151</t>
  </si>
  <si>
    <t>800/010/SMA.7/I/2018</t>
  </si>
  <si>
    <t>Sri Widodo</t>
  </si>
  <si>
    <t>640305101670002</t>
  </si>
  <si>
    <t xml:space="preserve">Jl. Pulau Kakaban </t>
  </si>
  <si>
    <t>085248445101</t>
  </si>
  <si>
    <t>Sulartinah</t>
  </si>
  <si>
    <t>Hamsinar</t>
  </si>
  <si>
    <t>Pengetahuan Budaya</t>
  </si>
  <si>
    <t>006 241 9857</t>
  </si>
  <si>
    <t>Abd Halid Hamzah</t>
  </si>
  <si>
    <t>Romang Lompoa</t>
  </si>
  <si>
    <t>6403052803730001</t>
  </si>
  <si>
    <t>081254123463</t>
  </si>
  <si>
    <t>800/398/SMAN 8 BR/Kepsek</t>
  </si>
  <si>
    <t>Ramlah</t>
  </si>
  <si>
    <t>198306222010012012</t>
  </si>
  <si>
    <t>97.037.623.2-272.000</t>
  </si>
  <si>
    <t>Otomotif</t>
  </si>
  <si>
    <t>0062336021</t>
  </si>
  <si>
    <t>Hendra Sulfarianur</t>
  </si>
  <si>
    <t>6403081805950001</t>
  </si>
  <si>
    <t>082350591451</t>
  </si>
  <si>
    <t>zhulfa95@gmail.com</t>
  </si>
  <si>
    <t>800/449/SMAN 8 BR/I/2018</t>
  </si>
  <si>
    <t>Nurida</t>
  </si>
  <si>
    <t>Laboran Lab. IPA</t>
  </si>
  <si>
    <t>Fisika dan TIK</t>
  </si>
  <si>
    <t>0062336536</t>
  </si>
  <si>
    <t>Noor Hasanah</t>
  </si>
  <si>
    <t>Giring-Giring</t>
  </si>
  <si>
    <t>6403085503930001</t>
  </si>
  <si>
    <t>Jl. Pendidikan Giring-Giring</t>
  </si>
  <si>
    <t>082352453799</t>
  </si>
  <si>
    <t>019/YAPIN/11/II/2016</t>
  </si>
  <si>
    <t>15/02/2016</t>
  </si>
  <si>
    <t>Nuraida</t>
  </si>
  <si>
    <t>Eko Supriadi</t>
  </si>
  <si>
    <t>0067332717</t>
  </si>
  <si>
    <t>Anis Marsela</t>
  </si>
  <si>
    <t>6403114905950001</t>
  </si>
  <si>
    <t>ISLAM</t>
  </si>
  <si>
    <t>TELUK HARAPAN</t>
  </si>
  <si>
    <t>anismarsela815@gmail.com</t>
  </si>
  <si>
    <t>422/02/SMA.N.9./1/2018</t>
  </si>
  <si>
    <t>ROSNANI</t>
  </si>
  <si>
    <t>GEOGRAFI</t>
  </si>
  <si>
    <t>AGUS FADILAH</t>
  </si>
  <si>
    <t>1995-08-09</t>
  </si>
  <si>
    <t>9 Agustus 1995</t>
  </si>
  <si>
    <t>6403130809950001</t>
  </si>
  <si>
    <t>085250704196</t>
  </si>
  <si>
    <t>fadilah.agus@yahoo.com</t>
  </si>
  <si>
    <t>814.1/231/SMAN10-TU/XII/2016</t>
  </si>
  <si>
    <t>2016-12-31</t>
  </si>
  <si>
    <t>Tidak dapat diterapkan</t>
  </si>
  <si>
    <t>833734007727000</t>
  </si>
  <si>
    <t>Geografi, Sejarah Indonesia, Sejarah</t>
  </si>
  <si>
    <t>1712013032</t>
  </si>
  <si>
    <t>Haniva Fitra</t>
  </si>
  <si>
    <t>1990-09-23</t>
  </si>
  <si>
    <t>23 September 1990</t>
  </si>
  <si>
    <t>6403136309900001</t>
  </si>
  <si>
    <t>Tenaga Administrasi Perpustakaan</t>
  </si>
  <si>
    <t>Jl. Patimura</t>
  </si>
  <si>
    <t>081350328761</t>
  </si>
  <si>
    <t>hany_syifa23@yahoo.co.id</t>
  </si>
  <si>
    <t>814.1/232/SMAN10-TU/XII/2016</t>
  </si>
  <si>
    <t>Maryam</t>
  </si>
  <si>
    <t>723322137727000</t>
  </si>
  <si>
    <t>1712013041</t>
  </si>
  <si>
    <t>Dwi Susilawaty</t>
  </si>
  <si>
    <t>BULAK</t>
  </si>
  <si>
    <t>1992-10-11</t>
  </si>
  <si>
    <t>11 Oktober 1992</t>
  </si>
  <si>
    <t>6403025110920001</t>
  </si>
  <si>
    <t>Guru Honor sekolah</t>
  </si>
  <si>
    <t>085751878003</t>
  </si>
  <si>
    <t>Dwisusilawati@yahoo.com</t>
  </si>
  <si>
    <t>421.3/01/V-SMAN 11/I/2018</t>
  </si>
  <si>
    <t>SRIANI</t>
  </si>
  <si>
    <t>83.800.966.0-727.000</t>
  </si>
  <si>
    <t>TIK DAN PKWU</t>
  </si>
  <si>
    <t>DWI SUSILAWATY</t>
  </si>
  <si>
    <t>Jusmawati</t>
  </si>
  <si>
    <t>1992-07-06</t>
  </si>
  <si>
    <t>06 Juli 1992</t>
  </si>
  <si>
    <t>6403024607920001</t>
  </si>
  <si>
    <t>PURNASARI JAYA</t>
  </si>
  <si>
    <t>085246387368</t>
  </si>
  <si>
    <t>jusmawati51@yahoo.co.id</t>
  </si>
  <si>
    <t>421.3/02/V-SMAN 11/I/2018</t>
  </si>
  <si>
    <t>NURSIAH</t>
  </si>
  <si>
    <t>PPKN DAN SEJARAH</t>
  </si>
  <si>
    <t>JUSMAWATI</t>
  </si>
  <si>
    <t>1192035283</t>
  </si>
  <si>
    <t>814.1/004/SMAN 12/I/2018</t>
  </si>
  <si>
    <t>Kab.Berau</t>
  </si>
  <si>
    <t>SMA Negeri 12 Berau</t>
  </si>
  <si>
    <t>6403034705850001</t>
  </si>
  <si>
    <t>Tenaga  Perpustakaan</t>
  </si>
  <si>
    <t>002</t>
  </si>
  <si>
    <t>085251147196</t>
  </si>
  <si>
    <t>kaka_tini@yahoo.com</t>
  </si>
  <si>
    <t>814.1/005/SMA 12/I/2017</t>
  </si>
  <si>
    <t>Asdiah</t>
  </si>
  <si>
    <t>Jupri, S.Pd</t>
  </si>
  <si>
    <t>548518505727000</t>
  </si>
  <si>
    <t>0062403942</t>
  </si>
  <si>
    <t>814.1/264.a/SMAN.12-Berau/Tata Usaha</t>
  </si>
  <si>
    <t>Masjuni</t>
  </si>
  <si>
    <t>6403030508880001</t>
  </si>
  <si>
    <t>GANG RAMBAI</t>
  </si>
  <si>
    <t>082149128588</t>
  </si>
  <si>
    <t>ijunzalfarizi@gmail.com</t>
  </si>
  <si>
    <t>Kasi</t>
  </si>
  <si>
    <t>807994967727000</t>
  </si>
  <si>
    <t>5161034831</t>
  </si>
  <si>
    <t>814.1/ 083.a /SMAN.12-Berau/Tata Usaha</t>
  </si>
  <si>
    <t>Mustafa</t>
  </si>
  <si>
    <t>6403030303900001</t>
  </si>
  <si>
    <t>082256445852</t>
  </si>
  <si>
    <t>mustafatapang470@gmail.com</t>
  </si>
  <si>
    <t>Arnian</t>
  </si>
  <si>
    <t>491995643727000</t>
  </si>
  <si>
    <t>0062403713</t>
  </si>
  <si>
    <t>Ratih Septianingsih</t>
  </si>
  <si>
    <t>Indramayu</t>
  </si>
  <si>
    <t>6403026309920001</t>
  </si>
  <si>
    <t>800/010/V-SMA13BERAU/VII/2017</t>
  </si>
  <si>
    <t>Perikanan</t>
  </si>
  <si>
    <t>RATIH SEPTIANINGSIH</t>
  </si>
  <si>
    <t>Juriansyah</t>
  </si>
  <si>
    <t xml:space="preserve">SAMARINDA </t>
  </si>
  <si>
    <t>6403011004930001</t>
  </si>
  <si>
    <t>Jl. Sido Bangen</t>
  </si>
  <si>
    <t>Sido Bangen</t>
  </si>
  <si>
    <t>Kelay</t>
  </si>
  <si>
    <t>082299871793</t>
  </si>
  <si>
    <t>juhriisyah@gmail.com</t>
  </si>
  <si>
    <t>800/011/V-SMA13BERAU/VII/2017</t>
  </si>
  <si>
    <t>MARJAN IBRAHIM</t>
  </si>
  <si>
    <t xml:space="preserve">Bahasa Inggris </t>
  </si>
  <si>
    <t>JURIANSYAH</t>
  </si>
  <si>
    <t>0062401451</t>
  </si>
  <si>
    <t>Ilyas</t>
  </si>
  <si>
    <t>DIHA</t>
  </si>
  <si>
    <t>5206011004941008</t>
  </si>
  <si>
    <t>Jl. Sambaliung</t>
  </si>
  <si>
    <t>085239229522</t>
  </si>
  <si>
    <t>ilyas333@gmail.com</t>
  </si>
  <si>
    <t>800/012/V-SMA13BERAU/VII/2017</t>
  </si>
  <si>
    <t>HALIMAH</t>
  </si>
  <si>
    <t>Pendidikan Bahasa Arab</t>
  </si>
  <si>
    <t>ILYAS</t>
  </si>
  <si>
    <t>Diana Ratnasari</t>
  </si>
  <si>
    <t>Sidoarjo</t>
  </si>
  <si>
    <t>6403034803920003</t>
  </si>
  <si>
    <t>Bukit Makmur Jaya</t>
  </si>
  <si>
    <t>Bukir Makmur Jaya</t>
  </si>
  <si>
    <t>082226483034</t>
  </si>
  <si>
    <t>421.3/001/SMAN_14/1/2018</t>
  </si>
  <si>
    <t>Parno</t>
  </si>
  <si>
    <t>66.921.969.3-727.000</t>
  </si>
  <si>
    <t>Bahasa Inggris, TIK</t>
  </si>
  <si>
    <t>Diana Ratna Sari</t>
  </si>
  <si>
    <t>1557003360</t>
  </si>
  <si>
    <t>Nurjannah</t>
  </si>
  <si>
    <t>6403134109920001</t>
  </si>
  <si>
    <t>0822518755585</t>
  </si>
  <si>
    <t>421.3/003/SMAN_14/1/2018</t>
  </si>
  <si>
    <t>Rosmiati</t>
  </si>
  <si>
    <t>1192035259</t>
  </si>
  <si>
    <t>Johri</t>
  </si>
  <si>
    <t>Lombok</t>
  </si>
  <si>
    <t>6403130107700025</t>
  </si>
  <si>
    <t>Penjaga Sekoah</t>
  </si>
  <si>
    <t>085250842057</t>
  </si>
  <si>
    <t>421.3 / 78 / SMAN_14 / VII / 2017</t>
  </si>
  <si>
    <t>Darmawati</t>
  </si>
  <si>
    <t>Linda Rusanda</t>
  </si>
  <si>
    <t>11920344546</t>
  </si>
  <si>
    <t>Kardi Romandon</t>
  </si>
  <si>
    <t>Kardi Romandon, S.Pd</t>
  </si>
  <si>
    <t>Pringambon</t>
  </si>
  <si>
    <t>6403022502920000</t>
  </si>
  <si>
    <t>Jl. Garuda II</t>
  </si>
  <si>
    <t>Sumber Mulya</t>
  </si>
  <si>
    <t>082250539245</t>
  </si>
  <si>
    <t>romandhonkardi@gmail.com</t>
  </si>
  <si>
    <t>803.66/123/SLBN-TR/BR/VII/2017</t>
  </si>
  <si>
    <t>Sarmini</t>
  </si>
  <si>
    <t>Intan Pertiwi</t>
  </si>
  <si>
    <t>448372516727000</t>
  </si>
  <si>
    <t>Guru Kelas I, III Autis (Q)</t>
  </si>
  <si>
    <t>0062420049</t>
  </si>
  <si>
    <t>Kelurahan</t>
  </si>
  <si>
    <t>Kabupaten/Kota</t>
  </si>
  <si>
    <t>Provinsi</t>
  </si>
  <si>
    <t>Teluk Lerong Ulu</t>
  </si>
  <si>
    <t>Sungai Kunjang</t>
  </si>
  <si>
    <t>Kalimantan Timur</t>
  </si>
  <si>
    <t>NamaSekolah</t>
  </si>
  <si>
    <t>Pangkat/Gol</t>
  </si>
  <si>
    <t>NIY/NIGK</t>
  </si>
  <si>
    <t>Karpeg</t>
  </si>
  <si>
    <t>Karpas</t>
  </si>
  <si>
    <t>Kewarganegaraan</t>
  </si>
  <si>
    <t>SD Islamic Center</t>
  </si>
  <si>
    <t>Ati Lumban Raja</t>
  </si>
  <si>
    <t>Sei. Lebah</t>
  </si>
  <si>
    <t>6403055205700002</t>
  </si>
  <si>
    <t>19700512 200502 2 003</t>
  </si>
  <si>
    <t>III/d</t>
  </si>
  <si>
    <t>2844 7486 5130 0032</t>
  </si>
  <si>
    <t>081350256606</t>
  </si>
  <si>
    <t>atilumban@gmail.com</t>
  </si>
  <si>
    <t>813/042-SK/BKD-I/2005</t>
  </si>
  <si>
    <t>821.29/018-SK/BKD-I/2006</t>
  </si>
  <si>
    <t>APBN</t>
  </si>
  <si>
    <t>Lusiana Sibatuara Alm.</t>
  </si>
  <si>
    <t>Rafni A. Harianja</t>
  </si>
  <si>
    <t>14.842.041.7-727.000</t>
  </si>
  <si>
    <t>Pendidikan Olahraga</t>
  </si>
  <si>
    <t>Bank kaltim</t>
  </si>
  <si>
    <t>0062180021</t>
  </si>
  <si>
    <t>ATI LUMBAN RAJA,S.PD</t>
  </si>
  <si>
    <t>WNI</t>
  </si>
  <si>
    <t>02/04/1973</t>
  </si>
  <si>
    <t>6403050204730003</t>
  </si>
  <si>
    <t>19730402 200701 1 021</t>
  </si>
  <si>
    <t>Jl. Andik Blok 5</t>
  </si>
  <si>
    <t>081347744226</t>
  </si>
  <si>
    <t>baharuddinberau73@gmail.com</t>
  </si>
  <si>
    <t>813.2/483/BKD-I/2007</t>
  </si>
  <si>
    <t>Siti Maimunah</t>
  </si>
  <si>
    <t>66.462.468.1-727.000</t>
  </si>
  <si>
    <t>0062272830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</si>
  <si>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</si>
  <si>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</si>
  <si>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</si>
  <si>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</si>
  <si>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</si>
  <si>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</si>
  <si>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</si>
  <si>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</si>
  <si>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</si>
  <si>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</si>
  <si>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</si>
  <si>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</si>
  <si>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</si>
  <si>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</si>
  <si>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14.625.371.1.727.000</t>
  </si>
  <si>
    <t>0062120925</t>
  </si>
  <si>
    <t>BAMBANG GESTANTO,DRS.</t>
  </si>
  <si>
    <t>Ekonomi, Lintas Minat Ekonomi, Lintas Minat Ekonomi 2</t>
  </si>
  <si>
    <t>Dahler Rajagukguk</t>
  </si>
  <si>
    <t>Medan</t>
  </si>
  <si>
    <t>6403052807620001</t>
  </si>
  <si>
    <t>19620728 198512 1 001</t>
  </si>
  <si>
    <t>2060 7406 4020 0003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</si>
  <si>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</si>
  <si>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</si>
  <si>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</si>
  <si>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</si>
  <si>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</si>
  <si>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</si>
  <si>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</si>
  <si>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</si>
  <si>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</si>
  <si>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0062107128</t>
  </si>
  <si>
    <t>DAHLER RAJAGUKGUK,S.PD</t>
  </si>
  <si>
    <t>Wakil Kepala Sekolah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</si>
  <si>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</si>
  <si>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</si>
  <si>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</si>
  <si>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</si>
  <si>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</si>
  <si>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</si>
  <si>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</si>
  <si>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</si>
  <si>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</si>
  <si>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</si>
  <si>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</si>
  <si>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</si>
  <si>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</si>
  <si>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</si>
  <si>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</si>
  <si>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0062167025</t>
  </si>
  <si>
    <t>DEWI UNSIYAH.H.SP.D</t>
  </si>
  <si>
    <t>Matematika (Umum)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</si>
  <si>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</si>
  <si>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</si>
  <si>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</si>
  <si>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</si>
  <si>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</si>
  <si>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</si>
  <si>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</si>
  <si>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</si>
  <si>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</si>
  <si>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</si>
  <si>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</si>
  <si>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</si>
  <si>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</si>
  <si>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</si>
  <si>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</si>
  <si>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</si>
  <si>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</si>
  <si>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</si>
  <si>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</si>
  <si>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</si>
  <si>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</si>
  <si>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</si>
  <si>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</si>
  <si>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</si>
  <si>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</si>
  <si>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14.768.539.0-727.000</t>
  </si>
  <si>
    <t>0062119696</t>
  </si>
  <si>
    <t>ENI SULISTYORINI</t>
  </si>
  <si>
    <t>Bahasa Inggris, Bahasa dan Sastra Inggris, Lintas Minat Bahasa Inggris 2, Lintas Minat Bahasa Inggris</t>
  </si>
  <si>
    <t>Dra</t>
  </si>
  <si>
    <t>Gusti Ayu Putu Arini</t>
  </si>
  <si>
    <t>Bongan, Kec. Tabanan</t>
  </si>
  <si>
    <t>6403056107690002</t>
  </si>
  <si>
    <t>19690721 200012 2 003</t>
  </si>
  <si>
    <t>2053 7476 4930 0013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</si>
  <si>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</si>
  <si>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</si>
  <si>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</si>
  <si>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</si>
  <si>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</si>
  <si>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</si>
  <si>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</si>
  <si>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</si>
  <si>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</si>
  <si>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</si>
  <si>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0062119528</t>
  </si>
  <si>
    <t>GUSTI AYU PUTU ARINI, DRA</t>
  </si>
  <si>
    <t>Pembina Pramuka Putri</t>
  </si>
  <si>
    <t>Pendidikan Kewarganegaraan (Pkn)</t>
  </si>
  <si>
    <t>H. Kaspul Anwar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</si>
  <si>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</si>
  <si>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</si>
  <si>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</si>
  <si>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</si>
  <si>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</si>
  <si>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</si>
  <si>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</si>
  <si>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Hj. Kasum</t>
  </si>
  <si>
    <t>Hj. Masitah, S.Ag</t>
  </si>
  <si>
    <t>197604052003122001</t>
  </si>
  <si>
    <t>159578541727000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</si>
  <si>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</si>
  <si>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</si>
  <si>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</si>
  <si>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</si>
  <si>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</si>
  <si>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</si>
  <si>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</si>
  <si>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</si>
  <si>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</si>
  <si>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</si>
  <si>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</si>
  <si>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</si>
  <si>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</si>
  <si>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</si>
  <si>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</si>
  <si>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</si>
  <si>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</si>
  <si>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</si>
  <si>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874088172727000</t>
  </si>
  <si>
    <t>S3</t>
  </si>
  <si>
    <t>Manajemen Pendidikan</t>
  </si>
  <si>
    <t>1171118405255</t>
  </si>
  <si>
    <t>0062201754</t>
  </si>
  <si>
    <t>SALEH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</si>
</sst>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[$-409]d\-mmm\-yyyy;@"/>
    <numFmt numFmtId="182" formatCode="dd\-mmm\-yy"/>
    <numFmt numFmtId="183" formatCode="yyyy\-mm\-dd;@"/>
    <numFmt numFmtId="184" formatCode="[$-421]dd\ mmmm\ yyyy;@"/>
    <numFmt numFmtId="185" formatCode="yyyy/mm/dd;@"/>
    <numFmt numFmtId="186" formatCode="m/d/yyyy"/>
    <numFmt numFmtId="187" formatCode="0.00;[Red]0.00"/>
    <numFmt numFmtId="188" formatCode="d/mm/yyyy;@"/>
    <numFmt numFmtId="189" formatCode="0.0"/>
  </numFmts>
  <fonts count="71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9"/>
      <name val="Times New Roman"/>
      <charset val="134"/>
    </font>
    <font>
      <sz val="9"/>
      <color theme="1"/>
      <name val="Tahoma"/>
      <charset val="134"/>
    </font>
    <font>
      <sz val="11"/>
      <color theme="1"/>
      <name val="Cambria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rgb="FF000000"/>
      <name val="Times New Roman"/>
      <charset val="134"/>
    </font>
    <font>
      <sz val="8"/>
      <color rgb="FF000000"/>
      <name val="Tahoma"/>
      <charset val="134"/>
    </font>
    <font>
      <sz val="8"/>
      <color theme="1"/>
      <name val="Tahoma"/>
      <charset val="134"/>
    </font>
    <font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rgb="FF000000"/>
      <name val="Arial Narrow"/>
      <charset val="134"/>
    </font>
    <font>
      <sz val="9"/>
      <name val="Calibri"/>
      <charset val="134"/>
      <scheme val="minor"/>
    </font>
    <font>
      <sz val="10"/>
      <name val="Arial "/>
      <charset val="1"/>
    </font>
    <font>
      <sz val="11"/>
      <name val="Cambria"/>
      <charset val="134"/>
    </font>
    <font>
      <u/>
      <sz val="11"/>
      <color theme="10"/>
      <name val="Calibri"/>
      <charset val="1"/>
    </font>
    <font>
      <u/>
      <sz val="9"/>
      <color theme="10"/>
      <name val="Times New Roman"/>
      <charset val="134"/>
    </font>
    <font>
      <sz val="9"/>
      <color theme="10"/>
      <name val="Times New Roman"/>
      <charset val="134"/>
    </font>
    <font>
      <u/>
      <sz val="11"/>
      <color theme="10"/>
      <name val="Calibri"/>
      <charset val="134"/>
    </font>
    <font>
      <u/>
      <sz val="8"/>
      <color theme="10"/>
      <name val="Tahoma"/>
      <charset val="134"/>
    </font>
    <font>
      <u/>
      <sz val="11"/>
      <color theme="10"/>
      <name val="Calibri"/>
      <charset val="1"/>
      <scheme val="minor"/>
    </font>
    <font>
      <sz val="11"/>
      <name val="Calibri"/>
      <charset val="1"/>
    </font>
    <font>
      <sz val="11"/>
      <color indexed="8"/>
      <name val="Calibri"/>
      <charset val="134"/>
    </font>
    <font>
      <sz val="10"/>
      <name val="Arial"/>
      <charset val="134"/>
    </font>
    <font>
      <sz val="9.35"/>
      <name val="Calibri"/>
      <charset val="134"/>
    </font>
    <font>
      <u/>
      <sz val="11"/>
      <name val="Calibri"/>
      <charset val="1"/>
    </font>
    <font>
      <sz val="1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 Narrow"/>
      <charset val="134"/>
    </font>
    <font>
      <sz val="11"/>
      <color rgb="FFFF0000"/>
      <name val="Calibri"/>
      <charset val="1"/>
      <scheme val="minor"/>
    </font>
    <font>
      <sz val="11"/>
      <color rgb="FF000000"/>
      <name val="Cambria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color rgb="FF000000"/>
      <name val="Courier New"/>
      <charset val="134"/>
    </font>
    <font>
      <sz val="10"/>
      <name val="Arial Narrow"/>
      <charset val="134"/>
    </font>
    <font>
      <u/>
      <sz val="10"/>
      <color rgb="FF0463C1"/>
      <name val="Arial Narrow"/>
      <charset val="134"/>
    </font>
    <font>
      <u/>
      <sz val="11"/>
      <color rgb="FF0463C1"/>
      <name val="Calibri"/>
      <charset val="134"/>
    </font>
    <font>
      <sz val="10"/>
      <name val="Segoe UI"/>
      <charset val="134"/>
    </font>
    <font>
      <sz val="9"/>
      <name val="Arial "/>
      <charset val="1"/>
    </font>
    <font>
      <sz val="9"/>
      <name val="Calibri"/>
      <charset val="134"/>
    </font>
    <font>
      <sz val="10"/>
      <color theme="1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sz val="9"/>
      <name val="Calibri"/>
      <charset val="1"/>
      <scheme val="minor"/>
    </font>
    <font>
      <u/>
      <sz val="10"/>
      <color rgb="FF1F4E79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7" borderId="2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27" applyNumberFormat="0" applyAlignment="0" applyProtection="0">
      <alignment vertical="center"/>
    </xf>
    <xf numFmtId="0" fontId="58" fillId="9" borderId="28" applyNumberFormat="0" applyAlignment="0" applyProtection="0">
      <alignment vertical="center"/>
    </xf>
    <xf numFmtId="0" fontId="59" fillId="9" borderId="27" applyNumberFormat="0" applyAlignment="0" applyProtection="0">
      <alignment vertical="center"/>
    </xf>
    <xf numFmtId="0" fontId="60" fillId="10" borderId="29" applyNumberFormat="0" applyAlignment="0" applyProtection="0">
      <alignment vertical="center"/>
    </xf>
    <xf numFmtId="0" fontId="61" fillId="0" borderId="30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68" fillId="0" borderId="0"/>
    <xf numFmtId="0" fontId="6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70" fillId="0" borderId="0"/>
  </cellStyleXfs>
  <cellXfs count="549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5" fillId="0" borderId="0" xfId="0" applyFont="1" applyAlignment="1">
      <alignment vertic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7" fillId="0" borderId="0" xfId="0" applyFont="1"/>
    <xf numFmtId="0" fontId="3" fillId="0" borderId="0" xfId="0" applyFont="1" applyFill="1" applyAlignment="1">
      <alignment horizontal="center"/>
    </xf>
    <xf numFmtId="0" fontId="0" fillId="3" borderId="1" xfId="0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/>
    <xf numFmtId="0" fontId="0" fillId="0" borderId="1" xfId="0" applyBorder="1"/>
    <xf numFmtId="0" fontId="9" fillId="0" borderId="1" xfId="0" applyFont="1" applyFill="1" applyBorder="1"/>
    <xf numFmtId="0" fontId="10" fillId="0" borderId="1" xfId="0" applyFont="1" applyFill="1" applyBorder="1" applyAlignment="1"/>
    <xf numFmtId="0" fontId="1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1" fillId="0" borderId="5" xfId="54" applyFont="1" applyFill="1" applyBorder="1" applyAlignment="1">
      <alignment horizontal="center" vertical="center"/>
    </xf>
    <xf numFmtId="0" fontId="11" fillId="0" borderId="5" xfId="54" applyFont="1" applyFill="1" applyBorder="1" applyAlignment="1">
      <alignment vertical="center"/>
    </xf>
    <xf numFmtId="0" fontId="11" fillId="0" borderId="5" xfId="54" applyFont="1" applyFill="1" applyBorder="1" applyAlignment="1">
      <alignment horizontal="left" vertical="center"/>
    </xf>
    <xf numFmtId="0" fontId="5" fillId="0" borderId="5" xfId="54" applyFont="1" applyBorder="1" applyAlignment="1">
      <alignment horizontal="center" vertical="center"/>
    </xf>
    <xf numFmtId="0" fontId="12" fillId="3" borderId="1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7" fillId="0" borderId="1" xfId="0" applyFont="1" applyBorder="1"/>
    <xf numFmtId="0" fontId="15" fillId="0" borderId="1" xfId="0" applyFont="1" applyBorder="1"/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center"/>
    </xf>
    <xf numFmtId="0" fontId="16" fillId="0" borderId="1" xfId="0" applyFont="1" applyBorder="1" applyAlignment="1"/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/>
    </xf>
    <xf numFmtId="0" fontId="13" fillId="0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180" fontId="1" fillId="2" borderId="1" xfId="0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181" fontId="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0" fontId="13" fillId="0" borderId="6" xfId="0" applyFont="1" applyFill="1" applyBorder="1" applyAlignment="1">
      <alignment horizontal="left" vertical="center" wrapText="1"/>
    </xf>
    <xf numFmtId="58" fontId="0" fillId="0" borderId="1" xfId="0" applyNumberFormat="1" applyBorder="1"/>
    <xf numFmtId="0" fontId="13" fillId="2" borderId="6" xfId="0" applyNumberFormat="1" applyFont="1" applyFill="1" applyBorder="1" applyAlignment="1">
      <alignment horizontal="center" vertical="center" wrapText="1"/>
    </xf>
    <xf numFmtId="182" fontId="0" fillId="0" borderId="1" xfId="0" applyNumberFormat="1" applyBorder="1"/>
    <xf numFmtId="0" fontId="9" fillId="0" borderId="1" xfId="0" applyFont="1" applyBorder="1"/>
    <xf numFmtId="183" fontId="0" fillId="0" borderId="1" xfId="0" applyNumberForma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right"/>
    </xf>
    <xf numFmtId="181" fontId="1" fillId="0" borderId="1" xfId="0" applyNumberFormat="1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right"/>
    </xf>
    <xf numFmtId="0" fontId="1" fillId="0" borderId="8" xfId="0" applyNumberFormat="1" applyFont="1" applyFill="1" applyBorder="1" applyAlignment="1">
      <alignment horizontal="right"/>
    </xf>
    <xf numFmtId="181" fontId="1" fillId="0" borderId="8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center" vertical="center"/>
    </xf>
    <xf numFmtId="180" fontId="0" fillId="0" borderId="1" xfId="0" applyNumberFormat="1" applyFill="1" applyBorder="1"/>
    <xf numFmtId="0" fontId="0" fillId="0" borderId="1" xfId="0" applyBorder="1" applyAlignment="1">
      <alignment horizontal="left" vertical="center"/>
    </xf>
    <xf numFmtId="182" fontId="0" fillId="0" borderId="1" xfId="0" applyNumberForma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80" fontId="11" fillId="0" borderId="3" xfId="0" applyNumberFormat="1" applyFont="1" applyFill="1" applyBorder="1" applyAlignment="1">
      <alignment horizontal="right" vertical="center"/>
    </xf>
    <xf numFmtId="0" fontId="11" fillId="0" borderId="3" xfId="0" applyNumberFormat="1" applyFont="1" applyFill="1" applyBorder="1" applyAlignment="1">
      <alignment horizontal="right" vertical="center"/>
    </xf>
    <xf numFmtId="181" fontId="11" fillId="0" borderId="3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right" vertical="center"/>
    </xf>
    <xf numFmtId="181" fontId="11" fillId="0" borderId="4" xfId="0" applyNumberFormat="1" applyFont="1" applyFill="1" applyBorder="1" applyAlignment="1">
      <alignment horizontal="right" vertical="center"/>
    </xf>
    <xf numFmtId="0" fontId="11" fillId="0" borderId="5" xfId="54" applyFont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right" vertical="center"/>
    </xf>
    <xf numFmtId="181" fontId="11" fillId="0" borderId="5" xfId="0" applyNumberFormat="1" applyFont="1" applyFill="1" applyBorder="1" applyAlignment="1">
      <alignment horizontal="right" vertical="center"/>
    </xf>
    <xf numFmtId="0" fontId="11" fillId="0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58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58" fontId="13" fillId="2" borderId="1" xfId="0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vertical="center" wrapText="1"/>
    </xf>
    <xf numFmtId="5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2" fontId="1" fillId="3" borderId="1" xfId="0" applyNumberFormat="1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/>
    </xf>
    <xf numFmtId="58" fontId="4" fillId="0" borderId="1" xfId="0" applyNumberFormat="1" applyFont="1" applyBorder="1"/>
    <xf numFmtId="0" fontId="13" fillId="2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58" fontId="7" fillId="0" borderId="1" xfId="0" applyNumberFormat="1" applyFont="1" applyBorder="1"/>
    <xf numFmtId="0" fontId="7" fillId="0" borderId="1" xfId="0" applyNumberFormat="1" applyFont="1" applyFill="1" applyBorder="1" applyAlignment="1">
      <alignment horizontal="right"/>
    </xf>
    <xf numFmtId="181" fontId="7" fillId="0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center"/>
    </xf>
    <xf numFmtId="184" fontId="9" fillId="0" borderId="1" xfId="0" applyNumberFormat="1" applyFont="1" applyFill="1" applyBorder="1" applyAlignment="1">
      <alignment horizontal="center"/>
    </xf>
    <xf numFmtId="180" fontId="16" fillId="0" borderId="1" xfId="0" applyNumberFormat="1" applyFont="1" applyBorder="1" applyAlignment="1"/>
    <xf numFmtId="0" fontId="16" fillId="0" borderId="1" xfId="0" applyNumberFormat="1" applyFont="1" applyFill="1" applyBorder="1" applyAlignment="1">
      <alignment horizontal="left"/>
    </xf>
    <xf numFmtId="184" fontId="16" fillId="0" borderId="1" xfId="0" applyNumberFormat="1" applyFont="1" applyBorder="1" applyAlignment="1"/>
    <xf numFmtId="180" fontId="16" fillId="0" borderId="1" xfId="0" applyNumberFormat="1" applyFont="1" applyBorder="1" applyAlignment="1">
      <alignment vertical="center"/>
    </xf>
    <xf numFmtId="0" fontId="16" fillId="0" borderId="1" xfId="0" applyNumberFormat="1" applyFont="1" applyFill="1" applyBorder="1" applyAlignment="1">
      <alignment horizontal="left" vertical="center"/>
    </xf>
    <xf numFmtId="184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7" fillId="0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" fontId="11" fillId="3" borderId="3" xfId="0" applyNumberFormat="1" applyFont="1" applyFill="1" applyBorder="1" applyAlignment="1">
      <alignment vertical="center"/>
    </xf>
    <xf numFmtId="1" fontId="11" fillId="3" borderId="4" xfId="0" applyNumberFormat="1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1" fontId="11" fillId="3" borderId="5" xfId="54" applyNumberFormat="1" applyFont="1" applyFill="1" applyBorder="1" applyAlignment="1">
      <alignment vertical="center"/>
    </xf>
    <xf numFmtId="0" fontId="11" fillId="0" borderId="5" xfId="54" applyFont="1" applyBorder="1" applyAlignment="1">
      <alignment vertical="center"/>
    </xf>
    <xf numFmtId="49" fontId="12" fillId="3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9" xfId="0" applyFill="1" applyBorder="1"/>
    <xf numFmtId="1" fontId="9" fillId="0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/>
    <xf numFmtId="0" fontId="16" fillId="0" borderId="1" xfId="0" applyFont="1" applyFill="1" applyBorder="1" applyAlignment="1"/>
    <xf numFmtId="0" fontId="16" fillId="0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8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5" xfId="54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19" fillId="0" borderId="1" xfId="0" applyFont="1" applyBorder="1"/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58" fontId="1" fillId="2" borderId="1" xfId="0" applyNumberFormat="1" applyFont="1" applyFill="1" applyBorder="1" applyAlignment="1">
      <alignment horizontal="left"/>
    </xf>
    <xf numFmtId="0" fontId="1" fillId="4" borderId="1" xfId="0" applyNumberFormat="1" applyFont="1" applyFill="1" applyBorder="1" applyAlignment="1">
      <alignment horizontal="right"/>
    </xf>
    <xf numFmtId="0" fontId="8" fillId="3" borderId="1" xfId="6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58" fontId="1" fillId="2" borderId="1" xfId="0" applyNumberFormat="1" applyFont="1" applyFill="1" applyBorder="1" applyAlignment="1">
      <alignment horizontal="left" vertical="center"/>
    </xf>
    <xf numFmtId="0" fontId="4" fillId="3" borderId="1" xfId="6" applyFont="1" applyFill="1" applyBorder="1" applyAlignment="1">
      <alignment vertical="center"/>
    </xf>
    <xf numFmtId="0" fontId="0" fillId="0" borderId="1" xfId="6" applyFont="1" applyFill="1" applyBorder="1"/>
    <xf numFmtId="0" fontId="4" fillId="0" borderId="1" xfId="6" applyFont="1" applyFill="1" applyBorder="1"/>
    <xf numFmtId="0" fontId="8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 wrapText="1"/>
    </xf>
    <xf numFmtId="0" fontId="20" fillId="0" borderId="1" xfId="6" applyFont="1" applyBorder="1" applyAlignment="1" applyProtection="1"/>
    <xf numFmtId="58" fontId="0" fillId="0" borderId="1" xfId="0" applyNumberFormat="1" applyBorder="1" applyAlignment="1">
      <alignment horizontal="center"/>
    </xf>
    <xf numFmtId="0" fontId="10" fillId="0" borderId="1" xfId="49" applyFont="1" applyBorder="1"/>
    <xf numFmtId="185" fontId="0" fillId="0" borderId="1" xfId="0" applyNumberFormat="1" applyFill="1" applyBorder="1"/>
    <xf numFmtId="0" fontId="20" fillId="0" borderId="1" xfId="6" applyFont="1" applyFill="1" applyBorder="1" applyAlignment="1" applyProtection="1">
      <alignment horizontal="left"/>
    </xf>
    <xf numFmtId="58" fontId="1" fillId="0" borderId="1" xfId="0" applyNumberFormat="1" applyFont="1" applyFill="1" applyBorder="1" applyAlignment="1">
      <alignment horizontal="center"/>
    </xf>
    <xf numFmtId="58" fontId="0" fillId="0" borderId="1" xfId="0" applyNumberFormat="1" applyFill="1" applyBorder="1" applyAlignment="1">
      <alignment horizontal="center"/>
    </xf>
    <xf numFmtId="0" fontId="20" fillId="0" borderId="1" xfId="6" applyFont="1" applyBorder="1" applyAlignment="1" applyProtection="1">
      <alignment vertical="center"/>
    </xf>
    <xf numFmtId="58" fontId="11" fillId="0" borderId="3" xfId="0" applyNumberFormat="1" applyFont="1" applyBorder="1" applyAlignment="1">
      <alignment horizontal="left" vertical="center"/>
    </xf>
    <xf numFmtId="0" fontId="11" fillId="0" borderId="10" xfId="0" applyNumberFormat="1" applyFont="1" applyFill="1" applyBorder="1" applyAlignment="1">
      <alignment horizontal="right" vertical="center"/>
    </xf>
    <xf numFmtId="0" fontId="21" fillId="0" borderId="3" xfId="6" applyFont="1" applyFill="1" applyBorder="1" applyAlignment="1" applyProtection="1">
      <alignment vertical="center"/>
    </xf>
    <xf numFmtId="0" fontId="22" fillId="0" borderId="3" xfId="6" applyFont="1" applyFill="1" applyBorder="1" applyAlignment="1" applyProtection="1">
      <alignment vertical="center"/>
    </xf>
    <xf numFmtId="0" fontId="21" fillId="0" borderId="3" xfId="6" applyFont="1" applyFill="1" applyBorder="1" applyAlignment="1" applyProtection="1">
      <alignment horizontal="left" vertical="center"/>
    </xf>
    <xf numFmtId="0" fontId="23" fillId="0" borderId="4" xfId="6" applyFont="1" applyFill="1" applyBorder="1" applyAlignment="1" applyProtection="1">
      <alignment horizontal="left" vertical="center"/>
    </xf>
    <xf numFmtId="0" fontId="23" fillId="0" borderId="5" xfId="6" applyFont="1" applyFill="1" applyBorder="1" applyAlignment="1" applyProtection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24" fillId="3" borderId="1" xfId="6" applyFont="1" applyFill="1" applyBorder="1" applyAlignment="1" applyProtection="1">
      <alignment vertical="center"/>
    </xf>
    <xf numFmtId="0" fontId="14" fillId="0" borderId="1" xfId="0" applyFont="1" applyBorder="1" applyAlignment="1">
      <alignment horizontal="center" vertical="center"/>
    </xf>
    <xf numFmtId="180" fontId="12" fillId="2" borderId="1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23" fillId="3" borderId="1" xfId="6" applyFont="1" applyFill="1" applyBorder="1" applyAlignment="1" applyProtection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25" fillId="0" borderId="1" xfId="6" applyBorder="1"/>
    <xf numFmtId="58" fontId="0" fillId="0" borderId="1" xfId="0" applyNumberFormat="1" applyBorder="1" applyAlignment="1">
      <alignment horizontal="left"/>
    </xf>
    <xf numFmtId="0" fontId="25" fillId="0" borderId="1" xfId="6" applyFill="1" applyBorder="1" applyAlignment="1">
      <alignment horizontal="left"/>
    </xf>
    <xf numFmtId="58" fontId="1" fillId="0" borderId="1" xfId="0" applyNumberFormat="1" applyFont="1" applyFill="1" applyBorder="1" applyAlignment="1">
      <alignment horizontal="left"/>
    </xf>
    <xf numFmtId="0" fontId="25" fillId="0" borderId="1" xfId="6" applyBorder="1" applyAlignment="1">
      <alignment horizontal="center" vertical="center"/>
    </xf>
    <xf numFmtId="0" fontId="26" fillId="0" borderId="11" xfId="6" applyFont="1" applyBorder="1" applyAlignment="1" applyProtection="1"/>
    <xf numFmtId="0" fontId="1" fillId="0" borderId="12" xfId="0" applyFont="1" applyFill="1" applyBorder="1"/>
    <xf numFmtId="183" fontId="0" fillId="0" borderId="11" xfId="0" applyNumberFormat="1" applyFill="1" applyBorder="1" applyAlignment="1">
      <alignment horizontal="center"/>
    </xf>
    <xf numFmtId="0" fontId="19" fillId="0" borderId="1" xfId="6" applyFont="1" applyBorder="1"/>
    <xf numFmtId="0" fontId="27" fillId="0" borderId="1" xfId="56" applyFont="1" applyFill="1" applyBorder="1" applyAlignment="1"/>
    <xf numFmtId="0" fontId="28" fillId="3" borderId="1" xfId="0" applyFont="1" applyFill="1" applyBorder="1" applyAlignment="1"/>
    <xf numFmtId="0" fontId="0" fillId="0" borderId="1" xfId="0" applyBorder="1" applyAlignment="1"/>
    <xf numFmtId="180" fontId="0" fillId="0" borderId="1" xfId="0" applyNumberFormat="1" applyBorder="1" applyAlignment="1">
      <alignment horizontal="center"/>
    </xf>
    <xf numFmtId="0" fontId="29" fillId="0" borderId="1" xfId="6" applyFont="1" applyFill="1" applyBorder="1" applyAlignment="1" applyProtection="1">
      <alignment horizontal="left"/>
    </xf>
    <xf numFmtId="186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186" fontId="16" fillId="0" borderId="1" xfId="0" applyNumberFormat="1" applyFont="1" applyBorder="1" applyAlignment="1">
      <alignment horizontal="center" vertical="center"/>
    </xf>
    <xf numFmtId="0" fontId="30" fillId="0" borderId="1" xfId="6" applyFont="1" applyFill="1" applyBorder="1" applyAlignment="1" applyProtection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1" xfId="0" applyFill="1" applyBorder="1"/>
    <xf numFmtId="1" fontId="0" fillId="3" borderId="1" xfId="0" applyNumberFormat="1" applyFill="1" applyBorder="1" applyAlignment="1">
      <alignment horizontal="right"/>
    </xf>
    <xf numFmtId="0" fontId="0" fillId="3" borderId="1" xfId="0" applyFont="1" applyFill="1" applyBorder="1" applyAlignment="1"/>
    <xf numFmtId="0" fontId="10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right"/>
    </xf>
    <xf numFmtId="49" fontId="8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/>
    </xf>
    <xf numFmtId="0" fontId="0" fillId="0" borderId="14" xfId="0" applyFill="1" applyBorder="1"/>
    <xf numFmtId="0" fontId="7" fillId="0" borderId="1" xfId="0" applyFont="1" applyFill="1" applyBorder="1"/>
    <xf numFmtId="0" fontId="16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8" fillId="0" borderId="1" xfId="0" applyFont="1" applyFill="1" applyBorder="1" applyAlignment="1">
      <alignment horizontal="center" vertical="center"/>
    </xf>
    <xf numFmtId="187" fontId="1" fillId="0" borderId="0" xfId="0" applyNumberFormat="1" applyFont="1" applyFill="1" applyAlignment="1"/>
    <xf numFmtId="0" fontId="0" fillId="0" borderId="1" xfId="0" applyBorder="1" applyAlignment="1">
      <alignment horizontal="left"/>
    </xf>
    <xf numFmtId="0" fontId="1" fillId="0" borderId="8" xfId="0" applyFont="1" applyFill="1" applyBorder="1" applyAlignment="1"/>
    <xf numFmtId="0" fontId="11" fillId="0" borderId="0" xfId="0" applyFont="1" applyFill="1" applyAlignment="1">
      <alignment vertical="center"/>
    </xf>
    <xf numFmtId="0" fontId="11" fillId="0" borderId="0" xfId="54" applyFont="1" applyFill="1" applyAlignment="1">
      <alignment vertical="center"/>
    </xf>
    <xf numFmtId="0" fontId="13" fillId="0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33" fillId="0" borderId="1" xfId="0" applyFont="1" applyBorder="1" applyAlignment="1"/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17" fillId="0" borderId="0" xfId="0" applyFont="1" applyFill="1" applyAlignment="1"/>
    <xf numFmtId="1" fontId="0" fillId="0" borderId="1" xfId="0" applyNumberFormat="1" applyFill="1" applyBorder="1"/>
    <xf numFmtId="1" fontId="0" fillId="0" borderId="1" xfId="0" applyNumberFormat="1" applyBorder="1"/>
    <xf numFmtId="0" fontId="9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/>
    </xf>
    <xf numFmtId="180" fontId="1" fillId="0" borderId="1" xfId="0" applyNumberFormat="1" applyFont="1" applyFill="1" applyBorder="1" applyAlignment="1">
      <alignment horizontal="right" vertical="center"/>
    </xf>
    <xf numFmtId="181" fontId="1" fillId="0" borderId="1" xfId="0" applyNumberFormat="1" applyFon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/>
    </xf>
    <xf numFmtId="180" fontId="0" fillId="0" borderId="0" xfId="0" applyNumberFormat="1" applyFill="1"/>
    <xf numFmtId="58" fontId="0" fillId="0" borderId="7" xfId="0" applyNumberFormat="1" applyBorder="1"/>
    <xf numFmtId="183" fontId="9" fillId="0" borderId="1" xfId="0" applyNumberFormat="1" applyFont="1" applyFill="1" applyBorder="1" applyAlignment="1">
      <alignment horizontal="center"/>
    </xf>
    <xf numFmtId="180" fontId="1" fillId="0" borderId="8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181" fontId="11" fillId="0" borderId="10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2" fillId="0" borderId="1" xfId="0" applyFont="1" applyBorder="1" applyAlignment="1">
      <alignment horizontal="right" wrapText="1"/>
    </xf>
    <xf numFmtId="0" fontId="0" fillId="0" borderId="13" xfId="0" applyBorder="1"/>
    <xf numFmtId="1" fontId="1" fillId="0" borderId="8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right"/>
    </xf>
    <xf numFmtId="0" fontId="5" fillId="0" borderId="10" xfId="0" applyFont="1" applyFill="1" applyBorder="1" applyAlignment="1">
      <alignment vertical="center"/>
    </xf>
    <xf numFmtId="0" fontId="0" fillId="0" borderId="1" xfId="0" applyFill="1" applyBorder="1" applyAlignment="1">
      <alignment horizontal="right"/>
    </xf>
    <xf numFmtId="0" fontId="1" fillId="0" borderId="8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188" fontId="1" fillId="2" borderId="1" xfId="0" applyNumberFormat="1" applyFont="1" applyFill="1" applyBorder="1" applyAlignment="1">
      <alignment horizontal="left" vertical="center"/>
    </xf>
    <xf numFmtId="0" fontId="1" fillId="5" borderId="1" xfId="0" applyNumberFormat="1" applyFont="1" applyFill="1" applyBorder="1" applyAlignment="1">
      <alignment horizontal="right"/>
    </xf>
    <xf numFmtId="0" fontId="8" fillId="0" borderId="1" xfId="6" applyFont="1" applyFill="1" applyBorder="1"/>
    <xf numFmtId="0" fontId="4" fillId="0" borderId="1" xfId="6" applyFont="1" applyFill="1" applyBorder="1" applyAlignment="1">
      <alignment horizontal="left"/>
    </xf>
    <xf numFmtId="0" fontId="20" fillId="0" borderId="1" xfId="6" applyFont="1" applyFill="1" applyBorder="1" applyAlignment="1" applyProtection="1"/>
    <xf numFmtId="0" fontId="10" fillId="0" borderId="1" xfId="49" applyFont="1" applyFill="1" applyBorder="1"/>
    <xf numFmtId="188" fontId="1" fillId="0" borderId="8" xfId="0" applyNumberFormat="1" applyFont="1" applyFill="1" applyBorder="1" applyAlignment="1">
      <alignment horizontal="right" vertical="center"/>
    </xf>
    <xf numFmtId="58" fontId="11" fillId="0" borderId="10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5" xfId="0" applyBorder="1"/>
    <xf numFmtId="1" fontId="1" fillId="0" borderId="8" xfId="0" applyNumberFormat="1" applyFont="1" applyFill="1" applyBorder="1" applyAlignment="1">
      <alignment vertical="center"/>
    </xf>
    <xf numFmtId="182" fontId="1" fillId="0" borderId="8" xfId="0" applyNumberFormat="1" applyFont="1" applyFill="1" applyBorder="1" applyAlignment="1">
      <alignment vertical="center"/>
    </xf>
    <xf numFmtId="0" fontId="32" fillId="2" borderId="1" xfId="0" applyFont="1" applyFill="1" applyBorder="1"/>
    <xf numFmtId="0" fontId="32" fillId="0" borderId="1" xfId="0" applyFont="1" applyBorder="1"/>
    <xf numFmtId="0" fontId="0" fillId="2" borderId="1" xfId="0" applyFont="1" applyFill="1" applyBorder="1"/>
    <xf numFmtId="0" fontId="34" fillId="0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9" fillId="0" borderId="1" xfId="0" applyFont="1" applyBorder="1" applyAlignment="1">
      <alignment horizontal="center" wrapText="1"/>
    </xf>
    <xf numFmtId="0" fontId="35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0" fillId="3" borderId="1" xfId="0" applyFill="1" applyBorder="1"/>
    <xf numFmtId="1" fontId="9" fillId="0" borderId="1" xfId="0" applyNumberFormat="1" applyFont="1" applyFill="1" applyBorder="1" applyAlignment="1">
      <alignment horizontal="left"/>
    </xf>
    <xf numFmtId="0" fontId="1" fillId="0" borderId="17" xfId="0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87" fontId="11" fillId="0" borderId="0" xfId="0" applyNumberFormat="1" applyFont="1" applyFill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3" fillId="0" borderId="6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1" fillId="0" borderId="16" xfId="0" applyFont="1" applyBorder="1" applyAlignment="1">
      <alignment vertical="center"/>
    </xf>
    <xf numFmtId="180" fontId="11" fillId="0" borderId="16" xfId="0" applyNumberFormat="1" applyFont="1" applyFill="1" applyBorder="1" applyAlignment="1">
      <alignment horizontal="right" vertical="center"/>
    </xf>
    <xf numFmtId="0" fontId="11" fillId="0" borderId="16" xfId="0" applyNumberFormat="1" applyFont="1" applyFill="1" applyBorder="1" applyAlignment="1">
      <alignment horizontal="right" vertical="center"/>
    </xf>
    <xf numFmtId="181" fontId="11" fillId="0" borderId="16" xfId="0" applyNumberFormat="1" applyFont="1" applyFill="1" applyBorder="1" applyAlignment="1">
      <alignment horizontal="right" vertical="center"/>
    </xf>
    <xf numFmtId="0" fontId="13" fillId="0" borderId="6" xfId="0" applyFont="1" applyFill="1" applyBorder="1" applyAlignment="1">
      <alignment horizontal="center" vertical="center"/>
    </xf>
    <xf numFmtId="180" fontId="13" fillId="2" borderId="6" xfId="0" applyNumberFormat="1" applyFont="1" applyFill="1" applyBorder="1" applyAlignment="1">
      <alignment horizontal="center" vertical="center"/>
    </xf>
    <xf numFmtId="181" fontId="13" fillId="2" borderId="6" xfId="0" applyNumberFormat="1" applyFont="1" applyFill="1" applyBorder="1" applyAlignment="1">
      <alignment horizontal="left" vertical="center"/>
    </xf>
    <xf numFmtId="180" fontId="13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181" fontId="13" fillId="2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/>
    </xf>
    <xf numFmtId="182" fontId="1" fillId="0" borderId="1" xfId="0" applyNumberFormat="1" applyFont="1" applyFill="1" applyBorder="1" applyAlignment="1">
      <alignment horizontal="left"/>
    </xf>
    <xf numFmtId="58" fontId="0" fillId="0" borderId="1" xfId="0" applyNumberFormat="1" applyBorder="1" applyAlignment="1">
      <alignment horizontal="right"/>
    </xf>
    <xf numFmtId="182" fontId="1" fillId="0" borderId="8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58" fontId="1" fillId="0" borderId="8" xfId="0" applyNumberFormat="1" applyFont="1" applyFill="1" applyBorder="1" applyAlignment="1">
      <alignment vertical="center"/>
    </xf>
    <xf numFmtId="1" fontId="11" fillId="0" borderId="3" xfId="0" applyNumberFormat="1" applyFont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49" fontId="13" fillId="0" borderId="6" xfId="0" applyNumberFormat="1" applyFont="1" applyFill="1" applyBorder="1" applyAlignment="1">
      <alignment horizontal="right" vertical="center"/>
    </xf>
    <xf numFmtId="0" fontId="13" fillId="0" borderId="18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 wrapText="1"/>
    </xf>
    <xf numFmtId="0" fontId="22" fillId="0" borderId="4" xfId="6" applyFont="1" applyFill="1" applyBorder="1" applyAlignment="1" applyProtection="1">
      <alignment horizontal="left" vertical="center"/>
    </xf>
    <xf numFmtId="58" fontId="11" fillId="0" borderId="4" xfId="0" applyNumberFormat="1" applyFont="1" applyFill="1" applyBorder="1" applyAlignment="1">
      <alignment horizontal="left" vertical="center"/>
    </xf>
    <xf numFmtId="58" fontId="11" fillId="0" borderId="16" xfId="0" applyNumberFormat="1" applyFont="1" applyBorder="1" applyAlignment="1">
      <alignment horizontal="left" vertical="center"/>
    </xf>
    <xf numFmtId="0" fontId="24" fillId="3" borderId="6" xfId="6" applyFont="1" applyFill="1" applyBorder="1" applyAlignment="1" applyProtection="1">
      <alignment vertical="center"/>
    </xf>
    <xf numFmtId="0" fontId="12" fillId="2" borderId="6" xfId="0" applyFont="1" applyFill="1" applyBorder="1" applyAlignment="1">
      <alignment vertical="center" wrapText="1"/>
    </xf>
    <xf numFmtId="180" fontId="12" fillId="2" borderId="6" xfId="0" applyNumberFormat="1" applyFont="1" applyFill="1" applyBorder="1" applyAlignment="1">
      <alignment horizontal="left" vertical="center"/>
    </xf>
    <xf numFmtId="0" fontId="13" fillId="5" borderId="6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180" fontId="12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80" fontId="12" fillId="2" borderId="1" xfId="0" applyNumberFormat="1" applyFont="1" applyFill="1" applyBorder="1" applyAlignment="1">
      <alignment horizontal="left" vertical="center" wrapText="1"/>
    </xf>
    <xf numFmtId="0" fontId="13" fillId="5" borderId="1" xfId="0" applyNumberFormat="1" applyFont="1" applyFill="1" applyBorder="1" applyAlignment="1">
      <alignment horizontal="center" vertical="center"/>
    </xf>
    <xf numFmtId="0" fontId="25" fillId="0" borderId="1" xfId="6" applyFill="1" applyBorder="1" applyAlignment="1">
      <alignment horizontal="left" vertical="center"/>
    </xf>
    <xf numFmtId="0" fontId="25" fillId="0" borderId="1" xfId="6" applyBorder="1" applyAlignment="1">
      <alignment horizontal="left" vertical="center"/>
    </xf>
    <xf numFmtId="188" fontId="1" fillId="0" borderId="1" xfId="0" applyNumberFormat="1" applyFont="1" applyFill="1" applyBorder="1" applyAlignment="1">
      <alignment horizontal="center" vertical="center"/>
    </xf>
    <xf numFmtId="0" fontId="25" fillId="0" borderId="8" xfId="6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Fill="1" applyBorder="1" applyAlignment="1">
      <alignment vertical="center"/>
    </xf>
    <xf numFmtId="187" fontId="1" fillId="0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187" fontId="6" fillId="0" borderId="0" xfId="0" applyNumberFormat="1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181" fontId="4" fillId="0" borderId="1" xfId="0" applyNumberFormat="1" applyFont="1" applyFill="1" applyBorder="1" applyAlignment="1">
      <alignment horizontal="center" vertical="center"/>
    </xf>
    <xf numFmtId="0" fontId="0" fillId="0" borderId="6" xfId="0" applyFill="1" applyBorder="1"/>
    <xf numFmtId="182" fontId="4" fillId="0" borderId="1" xfId="0" applyNumberFormat="1" applyFont="1" applyFill="1" applyBorder="1" applyAlignment="1">
      <alignment horizontal="center" vertical="center"/>
    </xf>
    <xf numFmtId="0" fontId="0" fillId="0" borderId="19" xfId="0" applyFill="1" applyBorder="1"/>
    <xf numFmtId="0" fontId="8" fillId="3" borderId="1" xfId="0" applyFont="1" applyFill="1" applyBorder="1" applyAlignment="1">
      <alignment horizontal="right" vertical="center"/>
    </xf>
    <xf numFmtId="0" fontId="8" fillId="3" borderId="1" xfId="0" applyNumberFormat="1" applyFont="1" applyFill="1" applyBorder="1" applyAlignment="1">
      <alignment horizontal="right" vertical="center"/>
    </xf>
    <xf numFmtId="181" fontId="8" fillId="3" borderId="1" xfId="0" applyNumberFormat="1" applyFont="1" applyFill="1" applyBorder="1" applyAlignment="1">
      <alignment horizontal="right" vertical="center"/>
    </xf>
    <xf numFmtId="58" fontId="8" fillId="3" borderId="1" xfId="0" applyNumberFormat="1" applyFont="1" applyFill="1" applyBorder="1" applyAlignment="1">
      <alignment horizontal="right" vertical="center"/>
    </xf>
    <xf numFmtId="180" fontId="16" fillId="0" borderId="1" xfId="0" applyNumberFormat="1" applyFont="1" applyBorder="1" applyAlignment="1">
      <alignment horizontal="right" vertical="center"/>
    </xf>
    <xf numFmtId="0" fontId="16" fillId="0" borderId="1" xfId="0" applyNumberFormat="1" applyFont="1" applyFill="1" applyBorder="1" applyAlignment="1">
      <alignment horizontal="right" vertical="center"/>
    </xf>
    <xf numFmtId="184" fontId="16" fillId="0" borderId="1" xfId="0" applyNumberFormat="1" applyFont="1" applyBorder="1" applyAlignment="1">
      <alignment horizontal="right" vertical="center"/>
    </xf>
    <xf numFmtId="0" fontId="0" fillId="0" borderId="9" xfId="0" applyFill="1" applyBorder="1" applyAlignment="1">
      <alignment horizontal="left"/>
    </xf>
    <xf numFmtId="0" fontId="10" fillId="3" borderId="20" xfId="56" applyFont="1" applyFill="1" applyBorder="1" applyAlignment="1"/>
    <xf numFmtId="189" fontId="9" fillId="0" borderId="1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1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/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11" xfId="0" applyBorder="1"/>
    <xf numFmtId="0" fontId="0" fillId="0" borderId="21" xfId="0" applyFill="1" applyBorder="1"/>
    <xf numFmtId="0" fontId="10" fillId="3" borderId="1" xfId="56" applyFont="1" applyFill="1" applyBorder="1" applyAlignment="1">
      <alignment vertical="center"/>
    </xf>
    <xf numFmtId="0" fontId="8" fillId="3" borderId="1" xfId="6" applyFont="1" applyFill="1" applyBorder="1" applyAlignment="1">
      <alignment horizontal="left" vertical="center"/>
    </xf>
    <xf numFmtId="58" fontId="8" fillId="3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/>
    <xf numFmtId="182" fontId="8" fillId="3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/>
    <xf numFmtId="0" fontId="36" fillId="0" borderId="1" xfId="6" applyFont="1" applyBorder="1" applyAlignment="1" applyProtection="1"/>
    <xf numFmtId="0" fontId="29" fillId="0" borderId="1" xfId="6" applyFont="1" applyBorder="1" applyAlignment="1" applyProtection="1"/>
    <xf numFmtId="0" fontId="31" fillId="3" borderId="1" xfId="6" applyFont="1" applyFill="1" applyBorder="1" applyAlignment="1" applyProtection="1"/>
    <xf numFmtId="0" fontId="38" fillId="3" borderId="1" xfId="0" applyFont="1" applyFill="1" applyBorder="1" applyAlignment="1"/>
    <xf numFmtId="180" fontId="0" fillId="3" borderId="1" xfId="0" applyNumberFormat="1" applyFill="1" applyBorder="1" applyAlignment="1">
      <alignment horizontal="center"/>
    </xf>
    <xf numFmtId="0" fontId="36" fillId="3" borderId="1" xfId="6" applyFont="1" applyFill="1" applyBorder="1" applyAlignment="1" applyProtection="1"/>
    <xf numFmtId="0" fontId="29" fillId="3" borderId="1" xfId="6" applyFont="1" applyFill="1" applyBorder="1" applyAlignment="1" applyProtection="1"/>
    <xf numFmtId="180" fontId="28" fillId="3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/>
    <xf numFmtId="180" fontId="28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0" fillId="0" borderId="1" xfId="6" applyFont="1" applyFill="1" applyBorder="1" applyAlignment="1" applyProtection="1">
      <alignment horizontal="left" vertical="center" wrapText="1"/>
    </xf>
    <xf numFmtId="0" fontId="41" fillId="0" borderId="1" xfId="6" applyFont="1" applyFill="1" applyBorder="1" applyAlignment="1" applyProtection="1">
      <alignment horizontal="left" vertical="center" wrapText="1"/>
    </xf>
    <xf numFmtId="0" fontId="0" fillId="0" borderId="22" xfId="0" applyFill="1" applyBorder="1"/>
    <xf numFmtId="0" fontId="0" fillId="0" borderId="11" xfId="0" applyFill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80" fontId="0" fillId="0" borderId="1" xfId="0" applyNumberFormat="1" applyBorder="1" applyAlignment="1"/>
    <xf numFmtId="0" fontId="0" fillId="0" borderId="1" xfId="0" applyFont="1" applyBorder="1" applyAlignment="1">
      <alignment horizontal="center"/>
    </xf>
    <xf numFmtId="1" fontId="0" fillId="0" borderId="1" xfId="0" applyNumberFormat="1" applyBorder="1" applyAlignment="1"/>
    <xf numFmtId="1" fontId="0" fillId="3" borderId="1" xfId="0" applyNumberFormat="1" applyFill="1" applyBorder="1" applyAlignment="1"/>
    <xf numFmtId="0" fontId="0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180" fontId="42" fillId="3" borderId="1" xfId="0" applyNumberFormat="1" applyFont="1" applyFill="1" applyBorder="1" applyAlignment="1">
      <alignment horizontal="left" vertical="center" wrapText="1"/>
    </xf>
    <xf numFmtId="0" fontId="9" fillId="0" borderId="0" xfId="0" applyFont="1" applyFill="1" applyAlignment="1"/>
    <xf numFmtId="0" fontId="0" fillId="0" borderId="1" xfId="0" applyFill="1" applyBorder="1" applyAlignment="1"/>
    <xf numFmtId="0" fontId="9" fillId="3" borderId="1" xfId="0" applyFont="1" applyFill="1" applyBorder="1" applyAlignment="1"/>
    <xf numFmtId="0" fontId="10" fillId="0" borderId="1" xfId="0" applyFont="1" applyBorder="1" applyAlignment="1">
      <alignment horizontal="center"/>
    </xf>
    <xf numFmtId="0" fontId="9" fillId="0" borderId="8" xfId="0" applyFont="1" applyFill="1" applyBorder="1" applyAlignment="1"/>
    <xf numFmtId="0" fontId="9" fillId="0" borderId="13" xfId="0" applyFont="1" applyFill="1" applyBorder="1" applyAlignment="1"/>
    <xf numFmtId="0" fontId="9" fillId="3" borderId="1" xfId="0" applyFont="1" applyFill="1" applyBorder="1" applyAlignment="1">
      <alignment horizontal="center" vertical="center"/>
    </xf>
    <xf numFmtId="187" fontId="8" fillId="3" borderId="0" xfId="0" applyNumberFormat="1" applyFont="1" applyFill="1" applyAlignment="1">
      <alignment vertical="center"/>
    </xf>
    <xf numFmtId="187" fontId="9" fillId="0" borderId="0" xfId="0" applyNumberFormat="1" applyFont="1" applyFill="1" applyAlignment="1"/>
    <xf numFmtId="0" fontId="0" fillId="0" borderId="8" xfId="0" applyBorder="1" applyAlignment="1">
      <alignment horizontal="center"/>
    </xf>
    <xf numFmtId="0" fontId="0" fillId="0" borderId="8" xfId="0" applyBorder="1" applyAlignment="1"/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vertical="center"/>
    </xf>
    <xf numFmtId="0" fontId="39" fillId="0" borderId="1" xfId="0" applyFont="1" applyFill="1" applyBorder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" fillId="0" borderId="23" xfId="0" applyFont="1" applyBorder="1"/>
    <xf numFmtId="180" fontId="16" fillId="0" borderId="1" xfId="0" applyNumberFormat="1" applyFont="1" applyFill="1" applyBorder="1" applyAlignment="1">
      <alignment horizontal="right" vertical="center"/>
    </xf>
    <xf numFmtId="184" fontId="16" fillId="0" borderId="1" xfId="0" applyNumberFormat="1" applyFont="1" applyFill="1" applyBorder="1" applyAlignment="1">
      <alignment horizontal="right" vertical="center"/>
    </xf>
    <xf numFmtId="180" fontId="39" fillId="0" borderId="1" xfId="0" applyNumberFormat="1" applyFont="1" applyBorder="1" applyAlignment="1">
      <alignment horizontal="right" vertical="center"/>
    </xf>
    <xf numFmtId="184" fontId="39" fillId="0" borderId="1" xfId="0" applyNumberFormat="1" applyFont="1" applyBorder="1" applyAlignment="1">
      <alignment horizontal="right" vertical="center"/>
    </xf>
    <xf numFmtId="180" fontId="39" fillId="0" borderId="1" xfId="0" applyNumberFormat="1" applyFont="1" applyFill="1" applyBorder="1" applyAlignment="1">
      <alignment horizontal="right" vertical="center"/>
    </xf>
    <xf numFmtId="184" fontId="39" fillId="0" borderId="1" xfId="0" applyNumberFormat="1" applyFont="1" applyFill="1" applyBorder="1" applyAlignment="1">
      <alignment horizontal="right" vertical="center"/>
    </xf>
    <xf numFmtId="184" fontId="43" fillId="0" borderId="1" xfId="0" applyNumberFormat="1" applyFont="1" applyBorder="1" applyAlignment="1">
      <alignment horizontal="center" vertical="center" wrapText="1"/>
    </xf>
    <xf numFmtId="184" fontId="43" fillId="0" borderId="1" xfId="0" applyNumberFormat="1" applyFont="1" applyFill="1" applyBorder="1" applyAlignment="1">
      <alignment horizontal="center" vertical="center" wrapText="1"/>
    </xf>
    <xf numFmtId="58" fontId="43" fillId="0" borderId="1" xfId="0" applyNumberFormat="1" applyFont="1" applyFill="1" applyBorder="1" applyAlignment="1">
      <alignment horizontal="center" vertical="center" wrapText="1"/>
    </xf>
    <xf numFmtId="58" fontId="43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0" fontId="44" fillId="0" borderId="1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0" fillId="0" borderId="0" xfId="0" applyFill="1" applyAlignment="1">
      <alignment horizontal="left" vertical="center"/>
    </xf>
    <xf numFmtId="0" fontId="48" fillId="0" borderId="1" xfId="6" applyFont="1" applyFill="1" applyBorder="1" applyAlignment="1" applyProtection="1">
      <alignment horizontal="left" vertical="center" wrapText="1"/>
    </xf>
    <xf numFmtId="186" fontId="39" fillId="0" borderId="1" xfId="0" applyNumberFormat="1" applyFont="1" applyBorder="1" applyAlignment="1">
      <alignment horizontal="center" vertical="center"/>
    </xf>
    <xf numFmtId="180" fontId="44" fillId="0" borderId="1" xfId="0" applyNumberFormat="1" applyFont="1" applyBorder="1" applyAlignment="1">
      <alignment horizontal="center" vertical="center" wrapText="1"/>
    </xf>
    <xf numFmtId="180" fontId="44" fillId="0" borderId="1" xfId="0" applyNumberFormat="1" applyFont="1" applyFill="1" applyBorder="1" applyAlignment="1">
      <alignment horizontal="center" vertical="center" wrapText="1"/>
    </xf>
    <xf numFmtId="0" fontId="44" fillId="0" borderId="1" xfId="6" applyFont="1" applyFill="1" applyBorder="1" applyAlignment="1" applyProtection="1">
      <alignment horizontal="center" vertical="center" wrapText="1"/>
    </xf>
    <xf numFmtId="0" fontId="44" fillId="0" borderId="1" xfId="6" applyFont="1" applyBorder="1" applyAlignment="1" applyProtection="1">
      <alignment horizontal="center" vertical="center" wrapText="1"/>
    </xf>
    <xf numFmtId="0" fontId="44" fillId="0" borderId="1" xfId="6" applyFont="1" applyFill="1" applyBorder="1" applyAlignment="1" applyProtection="1">
      <alignment horizontal="center" vertical="center"/>
    </xf>
    <xf numFmtId="180" fontId="17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vertical="center"/>
    </xf>
    <xf numFmtId="49" fontId="44" fillId="0" borderId="1" xfId="0" applyNumberFormat="1" applyFont="1" applyFill="1" applyBorder="1" applyAlignment="1">
      <alignment vertical="top" wrapText="1"/>
    </xf>
    <xf numFmtId="0" fontId="44" fillId="0" borderId="1" xfId="0" applyFont="1" applyFill="1" applyBorder="1" applyAlignment="1">
      <alignment vertical="center" wrapText="1"/>
    </xf>
    <xf numFmtId="49" fontId="17" fillId="0" borderId="1" xfId="0" applyNumberFormat="1" applyFont="1" applyFill="1" applyBorder="1" applyAlignment="1">
      <alignment horizontal="left" wrapText="1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/>
    </xf>
    <xf numFmtId="49" fontId="44" fillId="0" borderId="1" xfId="0" applyNumberFormat="1" applyFont="1" applyBorder="1" applyAlignment="1">
      <alignment horizontal="center" vertical="center" wrapText="1"/>
    </xf>
    <xf numFmtId="49" fontId="44" fillId="0" borderId="1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vertical="top" wrapText="1"/>
    </xf>
    <xf numFmtId="0" fontId="1" fillId="0" borderId="1" xfId="0" applyFont="1" applyBorder="1" applyAlignment="1" quotePrefix="1">
      <alignment horizontal="right" vertical="center"/>
    </xf>
    <xf numFmtId="0" fontId="1" fillId="0" borderId="1" xfId="0" applyFont="1" applyBorder="1" applyAlignment="1" quotePrefix="1">
      <alignment horizontal="center" vertical="center"/>
    </xf>
    <xf numFmtId="0" fontId="32" fillId="0" borderId="1" xfId="0" applyFont="1" applyBorder="1" applyAlignment="1" quotePrefix="1">
      <alignment horizontal="right" wrapText="1"/>
    </xf>
    <xf numFmtId="0" fontId="9" fillId="0" borderId="1" xfId="0" applyFont="1" applyBorder="1" applyAlignment="1" quotePrefix="1">
      <alignment horizontal="center" wrapText="1"/>
    </xf>
    <xf numFmtId="188" fontId="1" fillId="2" borderId="1" xfId="0" applyNumberFormat="1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 wrapText="1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Fill="1" applyBorder="1" quotePrefix="1"/>
    <xf numFmtId="0" fontId="1" fillId="0" borderId="1" xfId="0" applyFont="1" applyFill="1" applyBorder="1" applyAlignment="1" quotePrefix="1">
      <alignment horizontal="left"/>
    </xf>
    <xf numFmtId="0" fontId="1" fillId="0" borderId="1" xfId="0" applyFont="1" applyFill="1" applyBorder="1" applyAlignment="1" quotePrefix="1"/>
    <xf numFmtId="181" fontId="1" fillId="0" borderId="1" xfId="0" applyNumberFormat="1" applyFont="1" applyFill="1" applyBorder="1" applyAlignment="1" quotePrefix="1">
      <alignment horizontal="right" vertical="center"/>
    </xf>
    <xf numFmtId="0" fontId="0" fillId="0" borderId="1" xfId="0" applyBorder="1" quotePrefix="1"/>
    <xf numFmtId="0" fontId="0" fillId="0" borderId="13" xfId="0" applyBorder="1" quotePrefix="1"/>
    <xf numFmtId="0" fontId="0" fillId="0" borderId="1" xfId="0" applyBorder="1" applyAlignment="1" quotePrefix="1">
      <alignment horizontal="center"/>
    </xf>
    <xf numFmtId="1" fontId="0" fillId="0" borderId="1" xfId="0" applyNumberFormat="1" applyFill="1" applyBorder="1" applyAlignment="1" quotePrefix="1">
      <alignment horizontal="left"/>
    </xf>
    <xf numFmtId="1" fontId="9" fillId="0" borderId="1" xfId="0" applyNumberFormat="1" applyFont="1" applyFill="1" applyBorder="1" applyAlignment="1" quotePrefix="1">
      <alignment horizontal="left"/>
    </xf>
    <xf numFmtId="0" fontId="9" fillId="0" borderId="1" xfId="0" applyFont="1" applyFill="1" applyBorder="1" quotePrefix="1"/>
    <xf numFmtId="0" fontId="0" fillId="0" borderId="1" xfId="0" applyFont="1" applyFill="1" applyBorder="1" quotePrefix="1"/>
    <xf numFmtId="0" fontId="1" fillId="0" borderId="1" xfId="0" applyFont="1" applyFill="1" applyBorder="1" applyAlignment="1" quotePrefix="1">
      <alignment horizontal="center" vertical="center"/>
    </xf>
    <xf numFmtId="1" fontId="1" fillId="0" borderId="8" xfId="0" applyNumberFormat="1" applyFont="1" applyFill="1" applyBorder="1" applyAlignment="1" quotePrefix="1">
      <alignment horizontal="right" vertical="center"/>
    </xf>
    <xf numFmtId="0" fontId="1" fillId="0" borderId="8" xfId="0" applyFont="1" applyFill="1" applyBorder="1" applyAlignment="1" quotePrefix="1">
      <alignment horizontal="center" vertical="center"/>
    </xf>
    <xf numFmtId="0" fontId="1" fillId="0" borderId="8" xfId="0" applyFont="1" applyFill="1" applyBorder="1" applyAlignment="1" quotePrefix="1">
      <alignment vertical="center"/>
    </xf>
    <xf numFmtId="0" fontId="1" fillId="0" borderId="1" xfId="0" applyFont="1" applyFill="1" applyBorder="1" applyAlignment="1" quotePrefix="1">
      <alignment horizontal="right" vertical="center"/>
    </xf>
    <xf numFmtId="1" fontId="1" fillId="0" borderId="8" xfId="0" applyNumberFormat="1" applyFont="1" applyFill="1" applyBorder="1" applyAlignment="1" quotePrefix="1">
      <alignment vertical="center"/>
    </xf>
    <xf numFmtId="182" fontId="1" fillId="0" borderId="8" xfId="0" applyNumberFormat="1" applyFont="1" applyFill="1" applyBorder="1" applyAlignment="1" quotePrefix="1">
      <alignment vertical="center"/>
    </xf>
    <xf numFmtId="0" fontId="1" fillId="0" borderId="8" xfId="0" applyFont="1" applyFill="1" applyBorder="1" applyAlignment="1" quotePrefix="1">
      <alignment horizontal="left" vertical="center"/>
    </xf>
    <xf numFmtId="0" fontId="1" fillId="0" borderId="17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right"/>
    </xf>
    <xf numFmtId="49" fontId="0" fillId="0" borderId="8" xfId="0" applyNumberFormat="1" applyBorder="1" applyAlignment="1" quotePrefix="1">
      <alignment horizontal="center" vertical="center"/>
    </xf>
    <xf numFmtId="1" fontId="1" fillId="0" borderId="1" xfId="0" applyNumberFormat="1" applyFon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vertical="center"/>
    </xf>
    <xf numFmtId="49" fontId="0" fillId="0" borderId="1" xfId="0" applyNumberFormat="1" applyBorder="1" applyAlignment="1" quotePrefix="1">
      <alignment horizontal="center" vertical="center"/>
    </xf>
    <xf numFmtId="0" fontId="11" fillId="0" borderId="10" xfId="0" applyFont="1" applyBorder="1" applyAlignment="1" quotePrefix="1">
      <alignment vertical="center"/>
    </xf>
    <xf numFmtId="58" fontId="11" fillId="0" borderId="10" xfId="0" applyNumberFormat="1" applyFont="1" applyBorder="1" applyAlignment="1" quotePrefix="1">
      <alignment horizontal="left" vertical="center"/>
    </xf>
    <xf numFmtId="0" fontId="11" fillId="0" borderId="3" xfId="0" applyFont="1" applyBorder="1" applyAlignment="1" quotePrefix="1">
      <alignment vertical="center"/>
    </xf>
    <xf numFmtId="58" fontId="11" fillId="0" borderId="3" xfId="0" applyNumberFormat="1" applyFont="1" applyBorder="1" applyAlignment="1" quotePrefix="1">
      <alignment horizontal="left" vertical="center"/>
    </xf>
    <xf numFmtId="0" fontId="5" fillId="0" borderId="3" xfId="0" applyFont="1" applyFill="1" applyBorder="1" applyAlignment="1" quotePrefix="1">
      <alignment vertical="center"/>
    </xf>
    <xf numFmtId="0" fontId="11" fillId="0" borderId="3" xfId="0" applyFont="1" applyBorder="1" applyAlignment="1" quotePrefix="1">
      <alignment horizontal="left" vertical="center"/>
    </xf>
    <xf numFmtId="1" fontId="11" fillId="0" borderId="3" xfId="0" applyNumberFormat="1" applyFont="1" applyBorder="1" applyAlignment="1" quotePrefix="1">
      <alignment vertical="center"/>
    </xf>
    <xf numFmtId="0" fontId="11" fillId="0" borderId="4" xfId="0" applyFont="1" applyFill="1" applyBorder="1" applyAlignment="1" quotePrefix="1">
      <alignment horizontal="left" vertical="center"/>
    </xf>
    <xf numFmtId="0" fontId="5" fillId="0" borderId="4" xfId="0" applyFont="1" applyFill="1" applyBorder="1" applyAlignment="1" quotePrefix="1">
      <alignment vertical="center"/>
    </xf>
    <xf numFmtId="58" fontId="11" fillId="0" borderId="4" xfId="0" applyNumberFormat="1" applyFont="1" applyFill="1" applyBorder="1" applyAlignment="1" quotePrefix="1">
      <alignment horizontal="left" vertical="center"/>
    </xf>
    <xf numFmtId="0" fontId="11" fillId="0" borderId="4" xfId="0" applyFont="1" applyBorder="1" applyAlignment="1" quotePrefix="1">
      <alignment vertical="center"/>
    </xf>
    <xf numFmtId="0" fontId="11" fillId="0" borderId="16" xfId="0" applyFont="1" applyBorder="1" applyAlignment="1" quotePrefix="1">
      <alignment vertical="center"/>
    </xf>
    <xf numFmtId="58" fontId="11" fillId="0" borderId="16" xfId="0" applyNumberFormat="1" applyFont="1" applyBorder="1" applyAlignment="1" quotePrefix="1">
      <alignment horizontal="left" vertical="center"/>
    </xf>
    <xf numFmtId="0" fontId="12" fillId="3" borderId="1" xfId="0" applyFont="1" applyFill="1" applyBorder="1" applyAlignment="1" quotePrefix="1">
      <alignment vertical="center"/>
    </xf>
    <xf numFmtId="0" fontId="12" fillId="3" borderId="1" xfId="0" applyFont="1" applyFill="1" applyBorder="1" applyAlignment="1" quotePrefix="1">
      <alignment vertical="center" wrapText="1"/>
    </xf>
    <xf numFmtId="49" fontId="12" fillId="3" borderId="1" xfId="0" applyNumberFormat="1" applyFont="1" applyFill="1" applyBorder="1" applyAlignment="1" quotePrefix="1">
      <alignment vertical="center" wrapText="1"/>
    </xf>
    <xf numFmtId="0" fontId="0" fillId="0" borderId="1" xfId="0" applyBorder="1" applyAlignment="1" quotePrefix="1">
      <alignment horizontal="right"/>
    </xf>
    <xf numFmtId="0" fontId="0" fillId="0" borderId="1" xfId="0" applyBorder="1" applyAlignment="1" quotePrefix="1">
      <alignment horizontal="left"/>
    </xf>
    <xf numFmtId="0" fontId="36" fillId="0" borderId="1" xfId="0" applyFont="1" applyBorder="1" applyAlignment="1" quotePrefix="1">
      <alignment horizontal="left" vertical="center"/>
    </xf>
    <xf numFmtId="182" fontId="1" fillId="0" borderId="1" xfId="0" applyNumberFormat="1" applyFont="1" applyFill="1" applyBorder="1" applyAlignment="1" quotePrefix="1">
      <alignment horizontal="left"/>
    </xf>
    <xf numFmtId="0" fontId="0" fillId="0" borderId="1" xfId="0" applyBorder="1" applyAlignment="1" quotePrefix="1">
      <alignment horizontal="left" vertical="center"/>
    </xf>
    <xf numFmtId="58" fontId="0" fillId="0" borderId="1" xfId="0" applyNumberFormat="1" applyBorder="1" applyAlignment="1" quotePrefix="1">
      <alignment horizontal="right"/>
    </xf>
    <xf numFmtId="0" fontId="1" fillId="0" borderId="1" xfId="0" applyFont="1" applyFill="1" applyBorder="1" applyAlignment="1" quotePrefix="1">
      <alignment horizontal="left" vertical="center"/>
    </xf>
    <xf numFmtId="188" fontId="1" fillId="0" borderId="1" xfId="0" applyNumberFormat="1" applyFont="1" applyFill="1" applyBorder="1" applyAlignment="1" quotePrefix="1">
      <alignment horizontal="center" vertical="center"/>
    </xf>
    <xf numFmtId="58" fontId="1" fillId="0" borderId="1" xfId="0" applyNumberFormat="1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wrapText="1"/>
    </xf>
    <xf numFmtId="0" fontId="0" fillId="3" borderId="1" xfId="0" applyFill="1" applyBorder="1" applyAlignment="1" quotePrefix="1">
      <alignment horizontal="center" vertical="center" wrapText="1"/>
    </xf>
    <xf numFmtId="0" fontId="0" fillId="3" borderId="1" xfId="0" applyFill="1" applyBorder="1" applyAlignment="1" quotePrefix="1">
      <alignment vertical="center"/>
    </xf>
    <xf numFmtId="49" fontId="0" fillId="3" borderId="1" xfId="0" applyNumberFormat="1" applyFill="1" applyBorder="1" applyAlignment="1" quotePrefix="1">
      <alignment horizontal="center" vertical="center" wrapText="1"/>
    </xf>
    <xf numFmtId="49" fontId="0" fillId="3" borderId="1" xfId="0" applyNumberFormat="1" applyFill="1" applyBorder="1" applyAlignment="1" quotePrefix="1">
      <alignment horizontal="center" vertical="center"/>
    </xf>
    <xf numFmtId="182" fontId="1" fillId="3" borderId="1" xfId="0" applyNumberFormat="1" applyFont="1" applyFill="1" applyBorder="1" applyAlignment="1" quotePrefix="1">
      <alignment horizontal="left" vertical="center"/>
    </xf>
    <xf numFmtId="0" fontId="9" fillId="3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  <xf numFmtId="181" fontId="4" fillId="0" borderId="1" xfId="0" applyNumberFormat="1" applyFont="1" applyFill="1" applyBorder="1" applyAlignment="1" quotePrefix="1">
      <alignment horizontal="center" vertical="center"/>
    </xf>
    <xf numFmtId="0" fontId="0" fillId="0" borderId="11" xfId="0" applyFill="1" applyBorder="1" applyAlignment="1" quotePrefix="1">
      <alignment horizontal="center"/>
    </xf>
    <xf numFmtId="0" fontId="0" fillId="0" borderId="11" xfId="0" applyFill="1" applyBorder="1" quotePrefix="1"/>
    <xf numFmtId="0" fontId="0" fillId="0" borderId="9" xfId="0" applyFill="1" applyBorder="1" applyAlignment="1" quotePrefix="1">
      <alignment horizontal="center"/>
    </xf>
    <xf numFmtId="182" fontId="4" fillId="0" borderId="1" xfId="0" applyNumberFormat="1" applyFont="1" applyFill="1" applyBorder="1" applyAlignment="1" quotePrefix="1">
      <alignment horizontal="center" vertical="center"/>
    </xf>
    <xf numFmtId="0" fontId="1" fillId="0" borderId="11" xfId="0" applyFont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vertical="center"/>
    </xf>
    <xf numFmtId="0" fontId="8" fillId="3" borderId="1" xfId="0" applyFont="1" applyFill="1" applyBorder="1" applyAlignment="1" quotePrefix="1">
      <alignment horizontal="right" vertical="center"/>
    </xf>
    <xf numFmtId="0" fontId="8" fillId="3" borderId="1" xfId="0" applyFont="1" applyFill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horizontal="center" vertical="center"/>
    </xf>
    <xf numFmtId="0" fontId="19" fillId="3" borderId="1" xfId="0" applyFont="1" applyFill="1" applyBorder="1" applyAlignment="1" quotePrefix="1">
      <alignment vertical="center"/>
    </xf>
    <xf numFmtId="182" fontId="8" fillId="3" borderId="1" xfId="0" applyNumberFormat="1" applyFont="1" applyFill="1" applyBorder="1" applyAlignment="1" quotePrefix="1">
      <alignment horizontal="left" vertical="center"/>
    </xf>
    <xf numFmtId="189" fontId="9" fillId="0" borderId="1" xfId="0" applyNumberFormat="1" applyFont="1" applyFill="1" applyBorder="1" applyAlignment="1" quotePrefix="1">
      <alignment horizontal="center"/>
    </xf>
    <xf numFmtId="1" fontId="0" fillId="0" borderId="1" xfId="0" applyNumberFormat="1" applyFont="1" applyBorder="1" applyAlignment="1" quotePrefix="1">
      <alignment horizontal="center"/>
    </xf>
    <xf numFmtId="1" fontId="9" fillId="0" borderId="1" xfId="0" applyNumberFormat="1" applyFont="1" applyFill="1" applyBorder="1" applyAlignment="1" quotePrefix="1">
      <alignment horizontal="center"/>
    </xf>
    <xf numFmtId="1" fontId="0" fillId="0" borderId="1" xfId="0" applyNumberFormat="1" applyBorder="1" applyAlignment="1" quotePrefix="1">
      <alignment horizontal="center"/>
    </xf>
    <xf numFmtId="0" fontId="0" fillId="0" borderId="1" xfId="0" applyFont="1" applyBorder="1" applyAlignment="1" quotePrefix="1">
      <alignment horizontal="center"/>
    </xf>
    <xf numFmtId="1" fontId="0" fillId="0" borderId="1" xfId="0" applyNumberFormat="1" applyFont="1" applyFill="1" applyBorder="1" applyAlignment="1" quotePrefix="1">
      <alignment horizontal="center"/>
    </xf>
    <xf numFmtId="1" fontId="0" fillId="3" borderId="1" xfId="0" applyNumberFormat="1" applyFont="1" applyFill="1" applyBorder="1" applyAlignment="1" quotePrefix="1">
      <alignment horizontal="center"/>
    </xf>
    <xf numFmtId="0" fontId="9" fillId="0" borderId="1" xfId="0" applyFont="1" applyFill="1" applyBorder="1" applyAlignment="1" quotePrefix="1">
      <alignment horizontal="center"/>
    </xf>
    <xf numFmtId="1" fontId="0" fillId="3" borderId="1" xfId="0" applyNumberFormat="1" applyFill="1" applyBorder="1" applyAlignment="1" quotePrefix="1">
      <alignment horizontal="center"/>
    </xf>
    <xf numFmtId="0" fontId="16" fillId="0" borderId="1" xfId="0" applyFont="1" applyBorder="1" applyAlignment="1" quotePrefix="1">
      <alignment vertical="center"/>
    </xf>
    <xf numFmtId="0" fontId="16" fillId="0" borderId="1" xfId="0" applyFont="1" applyFill="1" applyBorder="1" applyAlignment="1" quotePrefix="1">
      <alignment vertical="center"/>
    </xf>
    <xf numFmtId="0" fontId="16" fillId="0" borderId="1" xfId="0" applyFont="1" applyFill="1" applyBorder="1" applyAlignment="1" quotePrefix="1">
      <alignment horizontal="center" vertical="center"/>
    </xf>
    <xf numFmtId="0" fontId="16" fillId="0" borderId="1" xfId="0" applyFont="1" applyBorder="1" applyAlignment="1" quotePrefix="1">
      <alignment horizontal="center" vertical="center"/>
    </xf>
    <xf numFmtId="0" fontId="44" fillId="0" borderId="1" xfId="0" applyFont="1" applyBorder="1" applyAlignment="1" quotePrefix="1">
      <alignment horizontal="center" vertical="center" wrapText="1"/>
    </xf>
    <xf numFmtId="0" fontId="44" fillId="0" borderId="1" xfId="0" applyFont="1" applyFill="1" applyBorder="1" applyAlignment="1" quotePrefix="1">
      <alignment horizontal="center" vertical="center" wrapText="1"/>
    </xf>
    <xf numFmtId="0" fontId="17" fillId="0" borderId="1" xfId="0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right"/>
    </xf>
    <xf numFmtId="0" fontId="0" fillId="3" borderId="1" xfId="0" applyFill="1" applyBorder="1" applyAlignment="1" quotePrefix="1">
      <alignment horizontal="right" vertical="center"/>
    </xf>
    <xf numFmtId="0" fontId="1" fillId="3" borderId="1" xfId="0" applyFont="1" applyFill="1" applyBorder="1" applyAlignment="1" quotePrefix="1">
      <alignment horizontal="right" vertical="center"/>
    </xf>
    <xf numFmtId="0" fontId="1" fillId="3" borderId="1" xfId="0" applyFont="1" applyFill="1" applyBorder="1" applyAlignment="1" quotePrefix="1">
      <alignment horizontal="center" vertical="center"/>
    </xf>
    <xf numFmtId="58" fontId="1" fillId="2" borderId="1" xfId="0" applyNumberFormat="1" applyFont="1" applyFill="1" applyBorder="1" applyAlignment="1" quotePrefix="1">
      <alignment horizontal="left" vertical="center"/>
    </xf>
    <xf numFmtId="58" fontId="0" fillId="0" borderId="1" xfId="0" applyNumberFormat="1" applyFill="1" applyBorder="1" quotePrefix="1"/>
    <xf numFmtId="0" fontId="0" fillId="0" borderId="1" xfId="0" applyFill="1" applyBorder="1" applyAlignment="1" quotePrefix="1">
      <alignment horizontal="center"/>
    </xf>
    <xf numFmtId="0" fontId="8" fillId="0" borderId="1" xfId="0" applyFont="1" applyFill="1" applyBorder="1" applyAlignment="1" quotePrefix="1">
      <alignment horizontal="center" vertical="center"/>
    </xf>
    <xf numFmtId="0" fontId="9" fillId="0" borderId="1" xfId="0" applyFont="1" applyBorder="1" quotePrefix="1"/>
    <xf numFmtId="0" fontId="8" fillId="0" borderId="1" xfId="0" applyFont="1" applyFill="1" applyBorder="1" applyAlignment="1" quotePrefix="1">
      <alignment horizontal="left" vertical="center"/>
    </xf>
    <xf numFmtId="0" fontId="1" fillId="0" borderId="1" xfId="0" applyFont="1" applyFill="1" applyBorder="1" applyAlignment="1" quotePrefix="1">
      <alignment horizontal="center"/>
    </xf>
    <xf numFmtId="0" fontId="0" fillId="0" borderId="1" xfId="0" applyFill="1" applyBorder="1" applyAlignment="1" quotePrefix="1">
      <alignment horizontal="left"/>
    </xf>
    <xf numFmtId="1" fontId="0" fillId="0" borderId="1" xfId="0" applyNumberFormat="1" applyBorder="1" applyAlignment="1" quotePrefix="1">
      <alignment horizontal="left" vertical="center"/>
    </xf>
    <xf numFmtId="0" fontId="0" fillId="0" borderId="1" xfId="0" applyBorder="1" applyAlignment="1" quotePrefix="1">
      <alignment vertical="center"/>
    </xf>
    <xf numFmtId="0" fontId="0" fillId="0" borderId="1" xfId="0" applyBorder="1" applyAlignment="1" quotePrefix="1">
      <alignment horizontal="center" vertical="center"/>
    </xf>
    <xf numFmtId="1" fontId="11" fillId="3" borderId="3" xfId="0" applyNumberFormat="1" applyFont="1" applyFill="1" applyBorder="1" applyAlignment="1" quotePrefix="1">
      <alignment vertical="center"/>
    </xf>
    <xf numFmtId="0" fontId="11" fillId="0" borderId="3" xfId="0" applyFont="1" applyFill="1" applyBorder="1" applyAlignment="1" quotePrefix="1">
      <alignment vertical="center"/>
    </xf>
    <xf numFmtId="0" fontId="11" fillId="0" borderId="3" xfId="0" applyFont="1" applyFill="1" applyBorder="1" applyAlignment="1" quotePrefix="1">
      <alignment horizontal="left" vertical="center"/>
    </xf>
    <xf numFmtId="0" fontId="11" fillId="0" borderId="3" xfId="0" applyFont="1" applyFill="1" applyBorder="1" applyAlignment="1" quotePrefix="1">
      <alignment horizontal="right" vertical="center"/>
    </xf>
    <xf numFmtId="1" fontId="11" fillId="3" borderId="4" xfId="0" applyNumberFormat="1" applyFont="1" applyFill="1" applyBorder="1" applyAlignment="1" quotePrefix="1">
      <alignment vertical="center"/>
    </xf>
    <xf numFmtId="0" fontId="11" fillId="0" borderId="4" xfId="0" applyFont="1" applyFill="1" applyBorder="1" applyAlignment="1" quotePrefix="1">
      <alignment horizontal="center" vertical="center"/>
    </xf>
    <xf numFmtId="0" fontId="11" fillId="0" borderId="4" xfId="0" applyFont="1" applyFill="1" applyBorder="1" applyAlignment="1" quotePrefix="1">
      <alignment horizontal="right" vertical="center"/>
    </xf>
    <xf numFmtId="0" fontId="11" fillId="0" borderId="4" xfId="0" applyFont="1" applyFill="1" applyBorder="1" applyAlignment="1" quotePrefix="1">
      <alignment vertical="center"/>
    </xf>
    <xf numFmtId="1" fontId="11" fillId="3" borderId="5" xfId="54" applyNumberFormat="1" applyFont="1" applyFill="1" applyBorder="1" applyAlignment="1" quotePrefix="1">
      <alignment vertical="center"/>
    </xf>
    <xf numFmtId="0" fontId="11" fillId="0" borderId="5" xfId="54" applyFont="1" applyBorder="1" applyAlignment="1" quotePrefix="1">
      <alignment vertical="center"/>
    </xf>
    <xf numFmtId="0" fontId="11" fillId="0" borderId="5" xfId="54" applyFont="1" applyFill="1" applyBorder="1" applyAlignment="1" quotePrefix="1">
      <alignment horizontal="right" vertical="center"/>
    </xf>
    <xf numFmtId="0" fontId="11" fillId="0" borderId="5" xfId="54" applyFont="1" applyFill="1" applyBorder="1" applyAlignment="1" quotePrefix="1">
      <alignment horizontal="left" vertical="center"/>
    </xf>
    <xf numFmtId="0" fontId="11" fillId="0" borderId="5" xfId="54" applyFont="1" applyFill="1" applyBorder="1" applyAlignment="1" quotePrefix="1">
      <alignment vertical="center"/>
    </xf>
    <xf numFmtId="0" fontId="13" fillId="0" borderId="1" xfId="0" applyFont="1" applyBorder="1" applyAlignment="1" quotePrefix="1">
      <alignment vertical="center"/>
    </xf>
    <xf numFmtId="0" fontId="14" fillId="0" borderId="1" xfId="0" applyFont="1" applyBorder="1" applyAlignment="1" quotePrefix="1">
      <alignment vertical="center"/>
    </xf>
    <xf numFmtId="0" fontId="13" fillId="0" borderId="1" xfId="0" applyFont="1" applyBorder="1" applyAlignment="1" quotePrefix="1">
      <alignment horizontal="center" vertical="center"/>
    </xf>
    <xf numFmtId="0" fontId="25" fillId="0" borderId="1" xfId="6" applyBorder="1" quotePrefix="1"/>
    <xf numFmtId="0" fontId="1" fillId="3" borderId="1" xfId="0" applyFont="1" applyFill="1" applyBorder="1" applyAlignment="1" quotePrefix="1">
      <alignment vertical="center"/>
    </xf>
    <xf numFmtId="58" fontId="4" fillId="0" borderId="1" xfId="0" applyNumberFormat="1" applyFont="1" applyBorder="1" quotePrefix="1"/>
    <xf numFmtId="0" fontId="4" fillId="0" borderId="1" xfId="0" applyFont="1" applyBorder="1" applyAlignment="1" quotePrefix="1">
      <alignment horizontal="center"/>
    </xf>
    <xf numFmtId="183" fontId="0" fillId="0" borderId="11" xfId="0" applyNumberFormat="1" applyFill="1" applyBorder="1" applyAlignment="1" quotePrefix="1">
      <alignment horizontal="center"/>
    </xf>
    <xf numFmtId="0" fontId="0" fillId="3" borderId="1" xfId="0" applyFont="1" applyFill="1" applyBorder="1" applyAlignment="1" quotePrefix="1">
      <alignment horizontal="left" vertical="center"/>
    </xf>
    <xf numFmtId="0" fontId="7" fillId="0" borderId="1" xfId="0" applyFont="1" applyBorder="1" quotePrefix="1"/>
    <xf numFmtId="0" fontId="19" fillId="0" borderId="1" xfId="0" applyFont="1" applyBorder="1" quotePrefix="1"/>
    <xf numFmtId="0" fontId="15" fillId="0" borderId="1" xfId="0" applyFont="1" applyBorder="1" quotePrefix="1"/>
    <xf numFmtId="0" fontId="16" fillId="0" borderId="1" xfId="0" applyFont="1" applyBorder="1" applyAlignment="1" quotePrefix="1"/>
    <xf numFmtId="0" fontId="16" fillId="0" borderId="1" xfId="0" applyFont="1" applyBorder="1" applyAlignment="1" quotePrefix="1">
      <alignment horizontal="center"/>
    </xf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180" fontId="0" fillId="2" borderId="1" xfId="0" applyNumberForma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101441</xdr:rowOff>
    </xdr:to>
    <xdr:sp>
      <xdr:nvSpPr>
        <xdr:cNvPr id="3122" name="rect"/>
        <xdr:cNvSpPr/>
      </xdr:nvSpPr>
      <xdr:spPr>
        <a:xfrm>
          <a:off x="94235905" y="11449050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101441</xdr:rowOff>
    </xdr:to>
    <xdr:sp>
      <xdr:nvSpPr>
        <xdr:cNvPr id="3123" name="rect"/>
        <xdr:cNvSpPr/>
      </xdr:nvSpPr>
      <xdr:spPr>
        <a:xfrm>
          <a:off x="45815250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165020</xdr:rowOff>
    </xdr:to>
    <xdr:sp>
      <xdr:nvSpPr>
        <xdr:cNvPr id="3124" name="rect"/>
        <xdr:cNvSpPr/>
      </xdr:nvSpPr>
      <xdr:spPr>
        <a:xfrm>
          <a:off x="698309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114300</xdr:rowOff>
    </xdr:to>
    <xdr:sp>
      <xdr:nvSpPr>
        <xdr:cNvPr id="3125" name="rect"/>
        <xdr:cNvSpPr/>
      </xdr:nvSpPr>
      <xdr:spPr>
        <a:xfrm>
          <a:off x="698309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114300</xdr:rowOff>
    </xdr:to>
    <xdr:sp>
      <xdr:nvSpPr>
        <xdr:cNvPr id="3126" name="rect"/>
        <xdr:cNvSpPr/>
      </xdr:nvSpPr>
      <xdr:spPr>
        <a:xfrm>
          <a:off x="9423590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114300</xdr:rowOff>
    </xdr:to>
    <xdr:sp>
      <xdr:nvSpPr>
        <xdr:cNvPr id="3127" name="rect"/>
        <xdr:cNvSpPr/>
      </xdr:nvSpPr>
      <xdr:spPr>
        <a:xfrm>
          <a:off x="45815250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152161</xdr:rowOff>
    </xdr:to>
    <xdr:sp>
      <xdr:nvSpPr>
        <xdr:cNvPr id="3166" name="rect"/>
        <xdr:cNvSpPr/>
      </xdr:nvSpPr>
      <xdr:spPr>
        <a:xfrm>
          <a:off x="94235905" y="11449050"/>
          <a:ext cx="304800" cy="761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152161</xdr:rowOff>
    </xdr:to>
    <xdr:sp>
      <xdr:nvSpPr>
        <xdr:cNvPr id="3167" name="rect"/>
        <xdr:cNvSpPr/>
      </xdr:nvSpPr>
      <xdr:spPr>
        <a:xfrm>
          <a:off x="45815250" y="11449050"/>
          <a:ext cx="304165" cy="761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66</xdr:row>
      <xdr:rowOff>165020</xdr:rowOff>
    </xdr:to>
    <xdr:sp>
      <xdr:nvSpPr>
        <xdr:cNvPr id="3168" name="rect"/>
        <xdr:cNvSpPr/>
      </xdr:nvSpPr>
      <xdr:spPr>
        <a:xfrm>
          <a:off x="94235905" y="11449050"/>
          <a:ext cx="304800" cy="1383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66</xdr:row>
      <xdr:rowOff>165020</xdr:rowOff>
    </xdr:to>
    <xdr:sp>
      <xdr:nvSpPr>
        <xdr:cNvPr id="3169" name="rect"/>
        <xdr:cNvSpPr/>
      </xdr:nvSpPr>
      <xdr:spPr>
        <a:xfrm>
          <a:off x="45815250" y="11449050"/>
          <a:ext cx="304165" cy="1383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67</xdr:row>
      <xdr:rowOff>50720</xdr:rowOff>
    </xdr:to>
    <xdr:sp>
      <xdr:nvSpPr>
        <xdr:cNvPr id="3170" name="rect"/>
        <xdr:cNvSpPr/>
      </xdr:nvSpPr>
      <xdr:spPr>
        <a:xfrm>
          <a:off x="6983095" y="11449050"/>
          <a:ext cx="304800" cy="1574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67</xdr:row>
      <xdr:rowOff>12144</xdr:rowOff>
    </xdr:to>
    <xdr:sp>
      <xdr:nvSpPr>
        <xdr:cNvPr id="3171" name="rect"/>
        <xdr:cNvSpPr/>
      </xdr:nvSpPr>
      <xdr:spPr>
        <a:xfrm>
          <a:off x="94235905" y="11449050"/>
          <a:ext cx="304800" cy="1536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67</xdr:row>
      <xdr:rowOff>12144</xdr:rowOff>
    </xdr:to>
    <xdr:sp>
      <xdr:nvSpPr>
        <xdr:cNvPr id="3172" name="rect"/>
        <xdr:cNvSpPr/>
      </xdr:nvSpPr>
      <xdr:spPr>
        <a:xfrm>
          <a:off x="45815250" y="11449050"/>
          <a:ext cx="304165" cy="1536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76</xdr:row>
      <xdr:rowOff>0</xdr:rowOff>
    </xdr:to>
    <xdr:sp>
      <xdr:nvSpPr>
        <xdr:cNvPr id="3182" name="rect"/>
        <xdr:cNvSpPr/>
      </xdr:nvSpPr>
      <xdr:spPr>
        <a:xfrm>
          <a:off x="94235905" y="11449050"/>
          <a:ext cx="304800" cy="42195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77</xdr:row>
      <xdr:rowOff>37861</xdr:rowOff>
    </xdr:to>
    <xdr:sp>
      <xdr:nvSpPr>
        <xdr:cNvPr id="3183" name="rect"/>
        <xdr:cNvSpPr/>
      </xdr:nvSpPr>
      <xdr:spPr>
        <a:xfrm>
          <a:off x="6983095" y="11449050"/>
          <a:ext cx="304800" cy="4561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76</xdr:row>
      <xdr:rowOff>0</xdr:rowOff>
    </xdr:to>
    <xdr:sp>
      <xdr:nvSpPr>
        <xdr:cNvPr id="3185" name="rect"/>
        <xdr:cNvSpPr/>
      </xdr:nvSpPr>
      <xdr:spPr>
        <a:xfrm>
          <a:off x="45815250" y="11449050"/>
          <a:ext cx="304165" cy="42195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69</xdr:row>
      <xdr:rowOff>75723</xdr:rowOff>
    </xdr:to>
    <xdr:sp>
      <xdr:nvSpPr>
        <xdr:cNvPr id="3194" name="rect"/>
        <xdr:cNvSpPr/>
      </xdr:nvSpPr>
      <xdr:spPr>
        <a:xfrm>
          <a:off x="94235905" y="11449050"/>
          <a:ext cx="304800" cy="2209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69</xdr:row>
      <xdr:rowOff>75723</xdr:rowOff>
    </xdr:to>
    <xdr:sp>
      <xdr:nvSpPr>
        <xdr:cNvPr id="3195" name="rect"/>
        <xdr:cNvSpPr/>
      </xdr:nvSpPr>
      <xdr:spPr>
        <a:xfrm>
          <a:off x="45815250" y="11449050"/>
          <a:ext cx="304165" cy="2209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71</xdr:row>
      <xdr:rowOff>12144</xdr:rowOff>
    </xdr:to>
    <xdr:sp>
      <xdr:nvSpPr>
        <xdr:cNvPr id="3196" name="rect"/>
        <xdr:cNvSpPr/>
      </xdr:nvSpPr>
      <xdr:spPr>
        <a:xfrm>
          <a:off x="6983095" y="11449050"/>
          <a:ext cx="304800" cy="2755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70</xdr:row>
      <xdr:rowOff>165020</xdr:rowOff>
    </xdr:to>
    <xdr:sp>
      <xdr:nvSpPr>
        <xdr:cNvPr id="3197" name="rect"/>
        <xdr:cNvSpPr/>
      </xdr:nvSpPr>
      <xdr:spPr>
        <a:xfrm>
          <a:off x="94235905" y="11449050"/>
          <a:ext cx="304800" cy="2602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70</xdr:row>
      <xdr:rowOff>165020</xdr:rowOff>
    </xdr:to>
    <xdr:sp>
      <xdr:nvSpPr>
        <xdr:cNvPr id="3198" name="rect"/>
        <xdr:cNvSpPr/>
      </xdr:nvSpPr>
      <xdr:spPr>
        <a:xfrm>
          <a:off x="45815250" y="11449050"/>
          <a:ext cx="304165" cy="2602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126444</xdr:rowOff>
    </xdr:to>
    <xdr:sp>
      <xdr:nvSpPr>
        <xdr:cNvPr id="3208" name="rect"/>
        <xdr:cNvSpPr/>
      </xdr:nvSpPr>
      <xdr:spPr>
        <a:xfrm>
          <a:off x="94235905" y="11449050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126444</xdr:rowOff>
    </xdr:to>
    <xdr:sp>
      <xdr:nvSpPr>
        <xdr:cNvPr id="3209" name="rect"/>
        <xdr:cNvSpPr/>
      </xdr:nvSpPr>
      <xdr:spPr>
        <a:xfrm>
          <a:off x="45815250" y="11449050"/>
          <a:ext cx="304165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25003</xdr:rowOff>
    </xdr:to>
    <xdr:sp>
      <xdr:nvSpPr>
        <xdr:cNvPr id="3259" name="rect"/>
        <xdr:cNvSpPr/>
      </xdr:nvSpPr>
      <xdr:spPr>
        <a:xfrm>
          <a:off x="94235905" y="11449050"/>
          <a:ext cx="304800" cy="634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25003</xdr:rowOff>
    </xdr:to>
    <xdr:sp>
      <xdr:nvSpPr>
        <xdr:cNvPr id="3260" name="rect"/>
        <xdr:cNvSpPr/>
      </xdr:nvSpPr>
      <xdr:spPr>
        <a:xfrm>
          <a:off x="45815250" y="11449050"/>
          <a:ext cx="304165" cy="634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64</xdr:row>
      <xdr:rowOff>126444</xdr:rowOff>
    </xdr:to>
    <xdr:sp>
      <xdr:nvSpPr>
        <xdr:cNvPr id="3261" name="rect"/>
        <xdr:cNvSpPr/>
      </xdr:nvSpPr>
      <xdr:spPr>
        <a:xfrm>
          <a:off x="6983095" y="11449050"/>
          <a:ext cx="304800" cy="7359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88582</xdr:rowOff>
    </xdr:to>
    <xdr:sp>
      <xdr:nvSpPr>
        <xdr:cNvPr id="3262" name="rect"/>
        <xdr:cNvSpPr/>
      </xdr:nvSpPr>
      <xdr:spPr>
        <a:xfrm>
          <a:off x="94235905" y="11449050"/>
          <a:ext cx="304800" cy="697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88582</xdr:rowOff>
    </xdr:to>
    <xdr:sp>
      <xdr:nvSpPr>
        <xdr:cNvPr id="3263" name="rect"/>
        <xdr:cNvSpPr/>
      </xdr:nvSpPr>
      <xdr:spPr>
        <a:xfrm>
          <a:off x="45815250" y="11449050"/>
          <a:ext cx="304165" cy="697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0</xdr:rowOff>
    </xdr:to>
    <xdr:sp>
      <xdr:nvSpPr>
        <xdr:cNvPr id="3273" name="rect"/>
        <xdr:cNvSpPr/>
      </xdr:nvSpPr>
      <xdr:spPr>
        <a:xfrm>
          <a:off x="94235905" y="11449050"/>
          <a:ext cx="304800" cy="609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0</xdr:rowOff>
    </xdr:to>
    <xdr:sp>
      <xdr:nvSpPr>
        <xdr:cNvPr id="3274" name="rect"/>
        <xdr:cNvSpPr/>
      </xdr:nvSpPr>
      <xdr:spPr>
        <a:xfrm>
          <a:off x="45815250" y="11449050"/>
          <a:ext cx="304165" cy="609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165020</xdr:rowOff>
    </xdr:to>
    <xdr:sp>
      <xdr:nvSpPr>
        <xdr:cNvPr id="3275" name="rect"/>
        <xdr:cNvSpPr/>
      </xdr:nvSpPr>
      <xdr:spPr>
        <a:xfrm>
          <a:off x="9423590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165020</xdr:rowOff>
    </xdr:to>
    <xdr:sp>
      <xdr:nvSpPr>
        <xdr:cNvPr id="3276" name="rect"/>
        <xdr:cNvSpPr/>
      </xdr:nvSpPr>
      <xdr:spPr>
        <a:xfrm>
          <a:off x="45815250" y="11449050"/>
          <a:ext cx="304165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64</xdr:row>
      <xdr:rowOff>62864</xdr:rowOff>
    </xdr:to>
    <xdr:sp>
      <xdr:nvSpPr>
        <xdr:cNvPr id="3279" name="rect"/>
        <xdr:cNvSpPr/>
      </xdr:nvSpPr>
      <xdr:spPr>
        <a:xfrm>
          <a:off x="6983095" y="11449050"/>
          <a:ext cx="304800" cy="671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152161</xdr:rowOff>
    </xdr:to>
    <xdr:sp>
      <xdr:nvSpPr>
        <xdr:cNvPr id="3289" name="rect"/>
        <xdr:cNvSpPr/>
      </xdr:nvSpPr>
      <xdr:spPr>
        <a:xfrm>
          <a:off x="6983095" y="11449050"/>
          <a:ext cx="304800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68</xdr:row>
      <xdr:rowOff>25003</xdr:rowOff>
    </xdr:to>
    <xdr:sp>
      <xdr:nvSpPr>
        <xdr:cNvPr id="3303" name="rect"/>
        <xdr:cNvSpPr/>
      </xdr:nvSpPr>
      <xdr:spPr>
        <a:xfrm>
          <a:off x="94235905" y="11449050"/>
          <a:ext cx="304800" cy="1853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68</xdr:row>
      <xdr:rowOff>25003</xdr:rowOff>
    </xdr:to>
    <xdr:sp>
      <xdr:nvSpPr>
        <xdr:cNvPr id="3304" name="rect"/>
        <xdr:cNvSpPr/>
      </xdr:nvSpPr>
      <xdr:spPr>
        <a:xfrm>
          <a:off x="45815250" y="11449050"/>
          <a:ext cx="304165" cy="1853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67</xdr:row>
      <xdr:rowOff>25003</xdr:rowOff>
    </xdr:to>
    <xdr:sp>
      <xdr:nvSpPr>
        <xdr:cNvPr id="3305" name="rect"/>
        <xdr:cNvSpPr/>
      </xdr:nvSpPr>
      <xdr:spPr>
        <a:xfrm>
          <a:off x="94235905" y="11449050"/>
          <a:ext cx="304800" cy="1548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67</xdr:row>
      <xdr:rowOff>25003</xdr:rowOff>
    </xdr:to>
    <xdr:sp>
      <xdr:nvSpPr>
        <xdr:cNvPr id="3306" name="rect"/>
        <xdr:cNvSpPr/>
      </xdr:nvSpPr>
      <xdr:spPr>
        <a:xfrm>
          <a:off x="45815250" y="11449050"/>
          <a:ext cx="304165" cy="1548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68</xdr:row>
      <xdr:rowOff>62864</xdr:rowOff>
    </xdr:to>
    <xdr:sp>
      <xdr:nvSpPr>
        <xdr:cNvPr id="3309" name="rect"/>
        <xdr:cNvSpPr/>
      </xdr:nvSpPr>
      <xdr:spPr>
        <a:xfrm>
          <a:off x="6983095" y="11449050"/>
          <a:ext cx="304800" cy="18910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62</xdr:row>
      <xdr:rowOff>0</xdr:rowOff>
    </xdr:from>
    <xdr:to>
      <xdr:col>62</xdr:col>
      <xdr:colOff>513535</xdr:colOff>
      <xdr:row>63</xdr:row>
      <xdr:rowOff>101441</xdr:rowOff>
    </xdr:to>
    <xdr:sp>
      <xdr:nvSpPr>
        <xdr:cNvPr id="3315" name="rect"/>
        <xdr:cNvSpPr/>
      </xdr:nvSpPr>
      <xdr:spPr>
        <a:xfrm>
          <a:off x="96620330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62</xdr:row>
      <xdr:rowOff>0</xdr:rowOff>
    </xdr:from>
    <xdr:to>
      <xdr:col>62</xdr:col>
      <xdr:colOff>513535</xdr:colOff>
      <xdr:row>63</xdr:row>
      <xdr:rowOff>114300</xdr:rowOff>
    </xdr:to>
    <xdr:sp>
      <xdr:nvSpPr>
        <xdr:cNvPr id="3319" name="rect"/>
        <xdr:cNvSpPr/>
      </xdr:nvSpPr>
      <xdr:spPr>
        <a:xfrm>
          <a:off x="96620330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35</xdr:col>
      <xdr:colOff>15356</xdr:colOff>
      <xdr:row>64</xdr:row>
      <xdr:rowOff>108585</xdr:rowOff>
    </xdr:to>
    <xdr:sp>
      <xdr:nvSpPr>
        <xdr:cNvPr id="3345" name="rect"/>
        <xdr:cNvSpPr/>
      </xdr:nvSpPr>
      <xdr:spPr>
        <a:xfrm>
          <a:off x="45815250" y="11449050"/>
          <a:ext cx="68453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35</xdr:col>
      <xdr:colOff>15356</xdr:colOff>
      <xdr:row>64</xdr:row>
      <xdr:rowOff>115014</xdr:rowOff>
    </xdr:to>
    <xdr:sp>
      <xdr:nvSpPr>
        <xdr:cNvPr id="3346" name="rect"/>
        <xdr:cNvSpPr/>
      </xdr:nvSpPr>
      <xdr:spPr>
        <a:xfrm>
          <a:off x="45815250" y="11449050"/>
          <a:ext cx="68453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33</xdr:col>
      <xdr:colOff>513233</xdr:colOff>
      <xdr:row>63</xdr:row>
      <xdr:rowOff>101441</xdr:rowOff>
    </xdr:to>
    <xdr:sp>
      <xdr:nvSpPr>
        <xdr:cNvPr id="3355" name="rect"/>
        <xdr:cNvSpPr/>
      </xdr:nvSpPr>
      <xdr:spPr>
        <a:xfrm>
          <a:off x="44028995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62</xdr:row>
      <xdr:rowOff>0</xdr:rowOff>
    </xdr:from>
    <xdr:to>
      <xdr:col>5</xdr:col>
      <xdr:colOff>513583</xdr:colOff>
      <xdr:row>63</xdr:row>
      <xdr:rowOff>165020</xdr:rowOff>
    </xdr:to>
    <xdr:sp>
      <xdr:nvSpPr>
        <xdr:cNvPr id="3356" name="rect"/>
        <xdr:cNvSpPr/>
      </xdr:nvSpPr>
      <xdr:spPr>
        <a:xfrm>
          <a:off x="619442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62</xdr:row>
      <xdr:rowOff>0</xdr:rowOff>
    </xdr:from>
    <xdr:to>
      <xdr:col>5</xdr:col>
      <xdr:colOff>513583</xdr:colOff>
      <xdr:row>63</xdr:row>
      <xdr:rowOff>114300</xdr:rowOff>
    </xdr:to>
    <xdr:sp>
      <xdr:nvSpPr>
        <xdr:cNvPr id="3357" name="rect"/>
        <xdr:cNvSpPr/>
      </xdr:nvSpPr>
      <xdr:spPr>
        <a:xfrm>
          <a:off x="619442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33</xdr:col>
      <xdr:colOff>513233</xdr:colOff>
      <xdr:row>63</xdr:row>
      <xdr:rowOff>114300</xdr:rowOff>
    </xdr:to>
    <xdr:sp>
      <xdr:nvSpPr>
        <xdr:cNvPr id="3359" name="rect"/>
        <xdr:cNvSpPr/>
      </xdr:nvSpPr>
      <xdr:spPr>
        <a:xfrm>
          <a:off x="44028995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34</xdr:col>
      <xdr:colOff>16686</xdr:colOff>
      <xdr:row>64</xdr:row>
      <xdr:rowOff>108585</xdr:rowOff>
    </xdr:to>
    <xdr:sp>
      <xdr:nvSpPr>
        <xdr:cNvPr id="3384" name="rect"/>
        <xdr:cNvSpPr/>
      </xdr:nvSpPr>
      <xdr:spPr>
        <a:xfrm>
          <a:off x="44028995" y="11449050"/>
          <a:ext cx="159385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34</xdr:col>
      <xdr:colOff>16686</xdr:colOff>
      <xdr:row>64</xdr:row>
      <xdr:rowOff>115014</xdr:rowOff>
    </xdr:to>
    <xdr:sp>
      <xdr:nvSpPr>
        <xdr:cNvPr id="3385" name="rect"/>
        <xdr:cNvSpPr/>
      </xdr:nvSpPr>
      <xdr:spPr>
        <a:xfrm>
          <a:off x="44028995" y="11449050"/>
          <a:ext cx="159385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35</xdr:col>
      <xdr:colOff>511899</xdr:colOff>
      <xdr:row>63</xdr:row>
      <xdr:rowOff>101441</xdr:rowOff>
    </xdr:to>
    <xdr:sp>
      <xdr:nvSpPr>
        <xdr:cNvPr id="3432" name="rect"/>
        <xdr:cNvSpPr/>
      </xdr:nvSpPr>
      <xdr:spPr>
        <a:xfrm>
          <a:off x="46691550" y="11449050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35</xdr:col>
      <xdr:colOff>511899</xdr:colOff>
      <xdr:row>63</xdr:row>
      <xdr:rowOff>114300</xdr:rowOff>
    </xdr:to>
    <xdr:sp>
      <xdr:nvSpPr>
        <xdr:cNvPr id="3435" name="rect"/>
        <xdr:cNvSpPr/>
      </xdr:nvSpPr>
      <xdr:spPr>
        <a:xfrm>
          <a:off x="46691550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36</xdr:col>
      <xdr:colOff>19442</xdr:colOff>
      <xdr:row>64</xdr:row>
      <xdr:rowOff>108585</xdr:rowOff>
    </xdr:to>
    <xdr:sp>
      <xdr:nvSpPr>
        <xdr:cNvPr id="3447" name="rect"/>
        <xdr:cNvSpPr/>
      </xdr:nvSpPr>
      <xdr:spPr>
        <a:xfrm>
          <a:off x="46691550" y="11449050"/>
          <a:ext cx="223647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36</xdr:col>
      <xdr:colOff>19442</xdr:colOff>
      <xdr:row>64</xdr:row>
      <xdr:rowOff>115014</xdr:rowOff>
    </xdr:to>
    <xdr:sp>
      <xdr:nvSpPr>
        <xdr:cNvPr id="3448" name="rect"/>
        <xdr:cNvSpPr/>
      </xdr:nvSpPr>
      <xdr:spPr>
        <a:xfrm>
          <a:off x="46691550" y="11449050"/>
          <a:ext cx="223647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101441</xdr:rowOff>
    </xdr:to>
    <xdr:sp>
      <xdr:nvSpPr>
        <xdr:cNvPr id="14493" name="rect"/>
        <xdr:cNvSpPr/>
      </xdr:nvSpPr>
      <xdr:spPr>
        <a:xfrm>
          <a:off x="94235905" y="4083367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101441</xdr:rowOff>
    </xdr:to>
    <xdr:sp>
      <xdr:nvSpPr>
        <xdr:cNvPr id="14494" name="rect"/>
        <xdr:cNvSpPr/>
      </xdr:nvSpPr>
      <xdr:spPr>
        <a:xfrm>
          <a:off x="45815250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165020</xdr:rowOff>
    </xdr:to>
    <xdr:sp>
      <xdr:nvSpPr>
        <xdr:cNvPr id="14495" name="rect"/>
        <xdr:cNvSpPr/>
      </xdr:nvSpPr>
      <xdr:spPr>
        <a:xfrm>
          <a:off x="698309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114300</xdr:rowOff>
    </xdr:to>
    <xdr:sp>
      <xdr:nvSpPr>
        <xdr:cNvPr id="14496" name="rect"/>
        <xdr:cNvSpPr/>
      </xdr:nvSpPr>
      <xdr:spPr>
        <a:xfrm>
          <a:off x="698309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114300</xdr:rowOff>
    </xdr:to>
    <xdr:sp>
      <xdr:nvSpPr>
        <xdr:cNvPr id="14497" name="rect"/>
        <xdr:cNvSpPr/>
      </xdr:nvSpPr>
      <xdr:spPr>
        <a:xfrm>
          <a:off x="9423590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114300</xdr:rowOff>
    </xdr:to>
    <xdr:sp>
      <xdr:nvSpPr>
        <xdr:cNvPr id="14498" name="rect"/>
        <xdr:cNvSpPr/>
      </xdr:nvSpPr>
      <xdr:spPr>
        <a:xfrm>
          <a:off x="45815250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152161</xdr:rowOff>
    </xdr:to>
    <xdr:sp>
      <xdr:nvSpPr>
        <xdr:cNvPr id="14537" name="rect"/>
        <xdr:cNvSpPr/>
      </xdr:nvSpPr>
      <xdr:spPr>
        <a:xfrm>
          <a:off x="94235905" y="40833675"/>
          <a:ext cx="304800" cy="662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152161</xdr:rowOff>
    </xdr:to>
    <xdr:sp>
      <xdr:nvSpPr>
        <xdr:cNvPr id="14538" name="rect"/>
        <xdr:cNvSpPr/>
      </xdr:nvSpPr>
      <xdr:spPr>
        <a:xfrm>
          <a:off x="45815250" y="40833675"/>
          <a:ext cx="304165" cy="662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170</xdr:row>
      <xdr:rowOff>165020</xdr:rowOff>
    </xdr:to>
    <xdr:sp>
      <xdr:nvSpPr>
        <xdr:cNvPr id="14539" name="rect"/>
        <xdr:cNvSpPr/>
      </xdr:nvSpPr>
      <xdr:spPr>
        <a:xfrm>
          <a:off x="94235905" y="40833675"/>
          <a:ext cx="304800" cy="11855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170</xdr:row>
      <xdr:rowOff>165020</xdr:rowOff>
    </xdr:to>
    <xdr:sp>
      <xdr:nvSpPr>
        <xdr:cNvPr id="14540" name="rect"/>
        <xdr:cNvSpPr/>
      </xdr:nvSpPr>
      <xdr:spPr>
        <a:xfrm>
          <a:off x="45815250" y="40833675"/>
          <a:ext cx="304165" cy="11855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171</xdr:row>
      <xdr:rowOff>50720</xdr:rowOff>
    </xdr:to>
    <xdr:sp>
      <xdr:nvSpPr>
        <xdr:cNvPr id="14541" name="rect"/>
        <xdr:cNvSpPr/>
      </xdr:nvSpPr>
      <xdr:spPr>
        <a:xfrm>
          <a:off x="6983095" y="40833675"/>
          <a:ext cx="30480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171</xdr:row>
      <xdr:rowOff>12144</xdr:rowOff>
    </xdr:to>
    <xdr:sp>
      <xdr:nvSpPr>
        <xdr:cNvPr id="14542" name="rect"/>
        <xdr:cNvSpPr/>
      </xdr:nvSpPr>
      <xdr:spPr>
        <a:xfrm>
          <a:off x="94235905" y="40833675"/>
          <a:ext cx="304800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171</xdr:row>
      <xdr:rowOff>12144</xdr:rowOff>
    </xdr:to>
    <xdr:sp>
      <xdr:nvSpPr>
        <xdr:cNvPr id="14543" name="rect"/>
        <xdr:cNvSpPr/>
      </xdr:nvSpPr>
      <xdr:spPr>
        <a:xfrm>
          <a:off x="45815250" y="40833675"/>
          <a:ext cx="30416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180</xdr:row>
      <xdr:rowOff>165020</xdr:rowOff>
    </xdr:to>
    <xdr:sp>
      <xdr:nvSpPr>
        <xdr:cNvPr id="14553" name="rect"/>
        <xdr:cNvSpPr/>
      </xdr:nvSpPr>
      <xdr:spPr>
        <a:xfrm>
          <a:off x="94235905" y="40833675"/>
          <a:ext cx="304800" cy="37382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181</xdr:row>
      <xdr:rowOff>0</xdr:rowOff>
    </xdr:to>
    <xdr:sp>
      <xdr:nvSpPr>
        <xdr:cNvPr id="14554" name="rect"/>
        <xdr:cNvSpPr/>
      </xdr:nvSpPr>
      <xdr:spPr>
        <a:xfrm>
          <a:off x="94235905" y="40833675"/>
          <a:ext cx="304800" cy="38290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181</xdr:row>
      <xdr:rowOff>0</xdr:rowOff>
    </xdr:to>
    <xdr:sp>
      <xdr:nvSpPr>
        <xdr:cNvPr id="14555" name="rect"/>
        <xdr:cNvSpPr/>
      </xdr:nvSpPr>
      <xdr:spPr>
        <a:xfrm>
          <a:off x="45815250" y="40833675"/>
          <a:ext cx="304165" cy="38290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180</xdr:row>
      <xdr:rowOff>165020</xdr:rowOff>
    </xdr:to>
    <xdr:sp>
      <xdr:nvSpPr>
        <xdr:cNvPr id="14557" name="rect"/>
        <xdr:cNvSpPr/>
      </xdr:nvSpPr>
      <xdr:spPr>
        <a:xfrm>
          <a:off x="45815250" y="40833675"/>
          <a:ext cx="304165" cy="37382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173</xdr:row>
      <xdr:rowOff>75723</xdr:rowOff>
    </xdr:to>
    <xdr:sp>
      <xdr:nvSpPr>
        <xdr:cNvPr id="14562" name="rect"/>
        <xdr:cNvSpPr/>
      </xdr:nvSpPr>
      <xdr:spPr>
        <a:xfrm>
          <a:off x="94235905" y="40833675"/>
          <a:ext cx="304800" cy="186245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173</xdr:row>
      <xdr:rowOff>75723</xdr:rowOff>
    </xdr:to>
    <xdr:sp>
      <xdr:nvSpPr>
        <xdr:cNvPr id="14563" name="rect"/>
        <xdr:cNvSpPr/>
      </xdr:nvSpPr>
      <xdr:spPr>
        <a:xfrm>
          <a:off x="45815250" y="40833675"/>
          <a:ext cx="304165" cy="186245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175</xdr:row>
      <xdr:rowOff>12144</xdr:rowOff>
    </xdr:to>
    <xdr:sp>
      <xdr:nvSpPr>
        <xdr:cNvPr id="14564" name="rect"/>
        <xdr:cNvSpPr/>
      </xdr:nvSpPr>
      <xdr:spPr>
        <a:xfrm>
          <a:off x="6983095" y="40833675"/>
          <a:ext cx="304800" cy="23094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174</xdr:row>
      <xdr:rowOff>165020</xdr:rowOff>
    </xdr:to>
    <xdr:sp>
      <xdr:nvSpPr>
        <xdr:cNvPr id="14565" name="rect"/>
        <xdr:cNvSpPr/>
      </xdr:nvSpPr>
      <xdr:spPr>
        <a:xfrm>
          <a:off x="94235905" y="40833675"/>
          <a:ext cx="304800" cy="22066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174</xdr:row>
      <xdr:rowOff>165020</xdr:rowOff>
    </xdr:to>
    <xdr:sp>
      <xdr:nvSpPr>
        <xdr:cNvPr id="14566" name="rect"/>
        <xdr:cNvSpPr/>
      </xdr:nvSpPr>
      <xdr:spPr>
        <a:xfrm>
          <a:off x="45815250" y="40833675"/>
          <a:ext cx="304165" cy="22066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432709</xdr:colOff>
      <xdr:row>166</xdr:row>
      <xdr:rowOff>0</xdr:rowOff>
    </xdr:from>
    <xdr:to>
      <xdr:col>8</xdr:col>
      <xdr:colOff>723079</xdr:colOff>
      <xdr:row>175</xdr:row>
      <xdr:rowOff>12144</xdr:rowOff>
    </xdr:to>
    <xdr:sp>
      <xdr:nvSpPr>
        <xdr:cNvPr id="14575" name="rect"/>
        <xdr:cNvSpPr/>
      </xdr:nvSpPr>
      <xdr:spPr>
        <a:xfrm>
          <a:off x="10539095" y="40833675"/>
          <a:ext cx="290195" cy="23094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126444</xdr:rowOff>
    </xdr:to>
    <xdr:sp>
      <xdr:nvSpPr>
        <xdr:cNvPr id="14579" name="rect"/>
        <xdr:cNvSpPr/>
      </xdr:nvSpPr>
      <xdr:spPr>
        <a:xfrm>
          <a:off x="94235905" y="4083367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126444</xdr:rowOff>
    </xdr:to>
    <xdr:sp>
      <xdr:nvSpPr>
        <xdr:cNvPr id="14580" name="rect"/>
        <xdr:cNvSpPr/>
      </xdr:nvSpPr>
      <xdr:spPr>
        <a:xfrm>
          <a:off x="45815250" y="40833675"/>
          <a:ext cx="304165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25003</xdr:rowOff>
    </xdr:to>
    <xdr:sp>
      <xdr:nvSpPr>
        <xdr:cNvPr id="14630" name="rect"/>
        <xdr:cNvSpPr/>
      </xdr:nvSpPr>
      <xdr:spPr>
        <a:xfrm>
          <a:off x="94235905" y="40833675"/>
          <a:ext cx="304800" cy="535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25003</xdr:rowOff>
    </xdr:to>
    <xdr:sp>
      <xdr:nvSpPr>
        <xdr:cNvPr id="14631" name="rect"/>
        <xdr:cNvSpPr/>
      </xdr:nvSpPr>
      <xdr:spPr>
        <a:xfrm>
          <a:off x="45815250" y="40833675"/>
          <a:ext cx="304165" cy="535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168</xdr:row>
      <xdr:rowOff>126444</xdr:rowOff>
    </xdr:to>
    <xdr:sp>
      <xdr:nvSpPr>
        <xdr:cNvPr id="14632" name="rect"/>
        <xdr:cNvSpPr/>
      </xdr:nvSpPr>
      <xdr:spPr>
        <a:xfrm>
          <a:off x="6983095" y="40833675"/>
          <a:ext cx="304800" cy="6369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88582</xdr:rowOff>
    </xdr:to>
    <xdr:sp>
      <xdr:nvSpPr>
        <xdr:cNvPr id="14633" name="rect"/>
        <xdr:cNvSpPr/>
      </xdr:nvSpPr>
      <xdr:spPr>
        <a:xfrm>
          <a:off x="94235905" y="40833675"/>
          <a:ext cx="304800" cy="5988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88582</xdr:rowOff>
    </xdr:to>
    <xdr:sp>
      <xdr:nvSpPr>
        <xdr:cNvPr id="14634" name="rect"/>
        <xdr:cNvSpPr/>
      </xdr:nvSpPr>
      <xdr:spPr>
        <a:xfrm>
          <a:off x="45815250" y="40833675"/>
          <a:ext cx="304165" cy="5988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0</xdr:rowOff>
    </xdr:to>
    <xdr:sp>
      <xdr:nvSpPr>
        <xdr:cNvPr id="14644" name="rect"/>
        <xdr:cNvSpPr/>
      </xdr:nvSpPr>
      <xdr:spPr>
        <a:xfrm>
          <a:off x="94235905" y="40833675"/>
          <a:ext cx="304800" cy="510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0</xdr:rowOff>
    </xdr:to>
    <xdr:sp>
      <xdr:nvSpPr>
        <xdr:cNvPr id="14645" name="rect"/>
        <xdr:cNvSpPr/>
      </xdr:nvSpPr>
      <xdr:spPr>
        <a:xfrm>
          <a:off x="45815250" y="40833675"/>
          <a:ext cx="304165" cy="510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165020</xdr:rowOff>
    </xdr:to>
    <xdr:sp>
      <xdr:nvSpPr>
        <xdr:cNvPr id="14646" name="rect"/>
        <xdr:cNvSpPr/>
      </xdr:nvSpPr>
      <xdr:spPr>
        <a:xfrm>
          <a:off x="9423590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165020</xdr:rowOff>
    </xdr:to>
    <xdr:sp>
      <xdr:nvSpPr>
        <xdr:cNvPr id="14647" name="rect"/>
        <xdr:cNvSpPr/>
      </xdr:nvSpPr>
      <xdr:spPr>
        <a:xfrm>
          <a:off x="45815250" y="40833675"/>
          <a:ext cx="304165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168</xdr:row>
      <xdr:rowOff>62864</xdr:rowOff>
    </xdr:to>
    <xdr:sp>
      <xdr:nvSpPr>
        <xdr:cNvPr id="14650" name="rect"/>
        <xdr:cNvSpPr/>
      </xdr:nvSpPr>
      <xdr:spPr>
        <a:xfrm>
          <a:off x="6983095" y="40833675"/>
          <a:ext cx="304800" cy="5727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152161</xdr:rowOff>
    </xdr:to>
    <xdr:sp>
      <xdr:nvSpPr>
        <xdr:cNvPr id="14660" name="rect"/>
        <xdr:cNvSpPr/>
      </xdr:nvSpPr>
      <xdr:spPr>
        <a:xfrm>
          <a:off x="6983095" y="40833675"/>
          <a:ext cx="304800" cy="4070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172</xdr:row>
      <xdr:rowOff>25003</xdr:rowOff>
    </xdr:to>
    <xdr:sp>
      <xdr:nvSpPr>
        <xdr:cNvPr id="14674" name="rect"/>
        <xdr:cNvSpPr/>
      </xdr:nvSpPr>
      <xdr:spPr>
        <a:xfrm>
          <a:off x="94235905" y="40833675"/>
          <a:ext cx="304800" cy="15563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172</xdr:row>
      <xdr:rowOff>25003</xdr:rowOff>
    </xdr:to>
    <xdr:sp>
      <xdr:nvSpPr>
        <xdr:cNvPr id="14675" name="rect"/>
        <xdr:cNvSpPr/>
      </xdr:nvSpPr>
      <xdr:spPr>
        <a:xfrm>
          <a:off x="45815250" y="40833675"/>
          <a:ext cx="304165" cy="15563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171</xdr:row>
      <xdr:rowOff>25003</xdr:rowOff>
    </xdr:to>
    <xdr:sp>
      <xdr:nvSpPr>
        <xdr:cNvPr id="14676" name="rect"/>
        <xdr:cNvSpPr/>
      </xdr:nvSpPr>
      <xdr:spPr>
        <a:xfrm>
          <a:off x="94235905" y="40833675"/>
          <a:ext cx="304800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171</xdr:row>
      <xdr:rowOff>25003</xdr:rowOff>
    </xdr:to>
    <xdr:sp>
      <xdr:nvSpPr>
        <xdr:cNvPr id="14677" name="rect"/>
        <xdr:cNvSpPr/>
      </xdr:nvSpPr>
      <xdr:spPr>
        <a:xfrm>
          <a:off x="45815250" y="40833675"/>
          <a:ext cx="30416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172</xdr:row>
      <xdr:rowOff>62864</xdr:rowOff>
    </xdr:to>
    <xdr:sp>
      <xdr:nvSpPr>
        <xdr:cNvPr id="14680" name="rect"/>
        <xdr:cNvSpPr/>
      </xdr:nvSpPr>
      <xdr:spPr>
        <a:xfrm>
          <a:off x="6983095" y="40833675"/>
          <a:ext cx="304800" cy="15938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166</xdr:row>
      <xdr:rowOff>0</xdr:rowOff>
    </xdr:from>
    <xdr:to>
      <xdr:col>62</xdr:col>
      <xdr:colOff>513535</xdr:colOff>
      <xdr:row>167</xdr:row>
      <xdr:rowOff>101441</xdr:rowOff>
    </xdr:to>
    <xdr:sp>
      <xdr:nvSpPr>
        <xdr:cNvPr id="14687" name="rect"/>
        <xdr:cNvSpPr/>
      </xdr:nvSpPr>
      <xdr:spPr>
        <a:xfrm>
          <a:off x="96620330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166</xdr:row>
      <xdr:rowOff>0</xdr:rowOff>
    </xdr:from>
    <xdr:to>
      <xdr:col>62</xdr:col>
      <xdr:colOff>513535</xdr:colOff>
      <xdr:row>167</xdr:row>
      <xdr:rowOff>114300</xdr:rowOff>
    </xdr:to>
    <xdr:sp>
      <xdr:nvSpPr>
        <xdr:cNvPr id="14691" name="rect"/>
        <xdr:cNvSpPr/>
      </xdr:nvSpPr>
      <xdr:spPr>
        <a:xfrm>
          <a:off x="96620330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35</xdr:col>
      <xdr:colOff>15356</xdr:colOff>
      <xdr:row>168</xdr:row>
      <xdr:rowOff>108585</xdr:rowOff>
    </xdr:to>
    <xdr:sp>
      <xdr:nvSpPr>
        <xdr:cNvPr id="14717" name="rect"/>
        <xdr:cNvSpPr/>
      </xdr:nvSpPr>
      <xdr:spPr>
        <a:xfrm>
          <a:off x="45815250" y="40833675"/>
          <a:ext cx="68453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35</xdr:col>
      <xdr:colOff>15356</xdr:colOff>
      <xdr:row>168</xdr:row>
      <xdr:rowOff>115014</xdr:rowOff>
    </xdr:to>
    <xdr:sp>
      <xdr:nvSpPr>
        <xdr:cNvPr id="14718" name="rect"/>
        <xdr:cNvSpPr/>
      </xdr:nvSpPr>
      <xdr:spPr>
        <a:xfrm>
          <a:off x="45815250" y="40833675"/>
          <a:ext cx="68453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33</xdr:col>
      <xdr:colOff>513233</xdr:colOff>
      <xdr:row>167</xdr:row>
      <xdr:rowOff>101441</xdr:rowOff>
    </xdr:to>
    <xdr:sp>
      <xdr:nvSpPr>
        <xdr:cNvPr id="14727" name="rect"/>
        <xdr:cNvSpPr/>
      </xdr:nvSpPr>
      <xdr:spPr>
        <a:xfrm>
          <a:off x="44028995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166</xdr:row>
      <xdr:rowOff>0</xdr:rowOff>
    </xdr:from>
    <xdr:to>
      <xdr:col>5</xdr:col>
      <xdr:colOff>513583</xdr:colOff>
      <xdr:row>167</xdr:row>
      <xdr:rowOff>165020</xdr:rowOff>
    </xdr:to>
    <xdr:sp>
      <xdr:nvSpPr>
        <xdr:cNvPr id="14728" name="rect"/>
        <xdr:cNvSpPr/>
      </xdr:nvSpPr>
      <xdr:spPr>
        <a:xfrm>
          <a:off x="619442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166</xdr:row>
      <xdr:rowOff>0</xdr:rowOff>
    </xdr:from>
    <xdr:to>
      <xdr:col>5</xdr:col>
      <xdr:colOff>513583</xdr:colOff>
      <xdr:row>167</xdr:row>
      <xdr:rowOff>114300</xdr:rowOff>
    </xdr:to>
    <xdr:sp>
      <xdr:nvSpPr>
        <xdr:cNvPr id="14729" name="rect"/>
        <xdr:cNvSpPr/>
      </xdr:nvSpPr>
      <xdr:spPr>
        <a:xfrm>
          <a:off x="619442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33</xdr:col>
      <xdr:colOff>513233</xdr:colOff>
      <xdr:row>167</xdr:row>
      <xdr:rowOff>114300</xdr:rowOff>
    </xdr:to>
    <xdr:sp>
      <xdr:nvSpPr>
        <xdr:cNvPr id="14731" name="rect"/>
        <xdr:cNvSpPr/>
      </xdr:nvSpPr>
      <xdr:spPr>
        <a:xfrm>
          <a:off x="44028995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34</xdr:col>
      <xdr:colOff>16686</xdr:colOff>
      <xdr:row>168</xdr:row>
      <xdr:rowOff>108585</xdr:rowOff>
    </xdr:to>
    <xdr:sp>
      <xdr:nvSpPr>
        <xdr:cNvPr id="14756" name="rect"/>
        <xdr:cNvSpPr/>
      </xdr:nvSpPr>
      <xdr:spPr>
        <a:xfrm>
          <a:off x="44028995" y="40833675"/>
          <a:ext cx="159385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34</xdr:col>
      <xdr:colOff>16686</xdr:colOff>
      <xdr:row>168</xdr:row>
      <xdr:rowOff>115014</xdr:rowOff>
    </xdr:to>
    <xdr:sp>
      <xdr:nvSpPr>
        <xdr:cNvPr id="14757" name="rect"/>
        <xdr:cNvSpPr/>
      </xdr:nvSpPr>
      <xdr:spPr>
        <a:xfrm>
          <a:off x="44028995" y="40833675"/>
          <a:ext cx="159385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35</xdr:col>
      <xdr:colOff>511899</xdr:colOff>
      <xdr:row>167</xdr:row>
      <xdr:rowOff>101441</xdr:rowOff>
    </xdr:to>
    <xdr:sp>
      <xdr:nvSpPr>
        <xdr:cNvPr id="14804" name="rect"/>
        <xdr:cNvSpPr/>
      </xdr:nvSpPr>
      <xdr:spPr>
        <a:xfrm>
          <a:off x="46691550" y="4083367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35</xdr:col>
      <xdr:colOff>511899</xdr:colOff>
      <xdr:row>167</xdr:row>
      <xdr:rowOff>114300</xdr:rowOff>
    </xdr:to>
    <xdr:sp>
      <xdr:nvSpPr>
        <xdr:cNvPr id="14807" name="rect"/>
        <xdr:cNvSpPr/>
      </xdr:nvSpPr>
      <xdr:spPr>
        <a:xfrm>
          <a:off x="46691550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36</xdr:col>
      <xdr:colOff>19442</xdr:colOff>
      <xdr:row>168</xdr:row>
      <xdr:rowOff>108585</xdr:rowOff>
    </xdr:to>
    <xdr:sp>
      <xdr:nvSpPr>
        <xdr:cNvPr id="14822" name="rect"/>
        <xdr:cNvSpPr/>
      </xdr:nvSpPr>
      <xdr:spPr>
        <a:xfrm>
          <a:off x="46691550" y="40833675"/>
          <a:ext cx="223647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36</xdr:col>
      <xdr:colOff>19442</xdr:colOff>
      <xdr:row>168</xdr:row>
      <xdr:rowOff>115014</xdr:rowOff>
    </xdr:to>
    <xdr:sp>
      <xdr:nvSpPr>
        <xdr:cNvPr id="14823" name="rect"/>
        <xdr:cNvSpPr/>
      </xdr:nvSpPr>
      <xdr:spPr>
        <a:xfrm>
          <a:off x="46691550" y="40833675"/>
          <a:ext cx="223647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166</xdr:row>
      <xdr:rowOff>165020</xdr:rowOff>
    </xdr:to>
    <xdr:sp>
      <xdr:nvSpPr>
        <xdr:cNvPr id="14831" name="rect"/>
        <xdr:cNvSpPr/>
      </xdr:nvSpPr>
      <xdr:spPr>
        <a:xfrm>
          <a:off x="6983095" y="40833675"/>
          <a:ext cx="304800" cy="1644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167</xdr:row>
      <xdr:rowOff>0</xdr:rowOff>
    </xdr:from>
    <xdr:to>
      <xdr:col>35</xdr:col>
      <xdr:colOff>511899</xdr:colOff>
      <xdr:row>168</xdr:row>
      <xdr:rowOff>101441</xdr:rowOff>
    </xdr:to>
    <xdr:sp>
      <xdr:nvSpPr>
        <xdr:cNvPr id="14836" name="rect"/>
        <xdr:cNvSpPr/>
      </xdr:nvSpPr>
      <xdr:spPr>
        <a:xfrm>
          <a:off x="46691550" y="4108894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167</xdr:row>
      <xdr:rowOff>0</xdr:rowOff>
    </xdr:from>
    <xdr:to>
      <xdr:col>35</xdr:col>
      <xdr:colOff>511899</xdr:colOff>
      <xdr:row>168</xdr:row>
      <xdr:rowOff>114300</xdr:rowOff>
    </xdr:to>
    <xdr:sp>
      <xdr:nvSpPr>
        <xdr:cNvPr id="14837" name="rect"/>
        <xdr:cNvSpPr/>
      </xdr:nvSpPr>
      <xdr:spPr>
        <a:xfrm>
          <a:off x="46691550" y="4108894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168</xdr:row>
      <xdr:rowOff>0</xdr:rowOff>
    </xdr:from>
    <xdr:to>
      <xdr:col>35</xdr:col>
      <xdr:colOff>511899</xdr:colOff>
      <xdr:row>169</xdr:row>
      <xdr:rowOff>101441</xdr:rowOff>
    </xdr:to>
    <xdr:sp>
      <xdr:nvSpPr>
        <xdr:cNvPr id="14852" name="rect"/>
        <xdr:cNvSpPr/>
      </xdr:nvSpPr>
      <xdr:spPr>
        <a:xfrm>
          <a:off x="46691550" y="4134421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168</xdr:row>
      <xdr:rowOff>0</xdr:rowOff>
    </xdr:from>
    <xdr:to>
      <xdr:col>35</xdr:col>
      <xdr:colOff>511899</xdr:colOff>
      <xdr:row>169</xdr:row>
      <xdr:rowOff>114300</xdr:rowOff>
    </xdr:to>
    <xdr:sp>
      <xdr:nvSpPr>
        <xdr:cNvPr id="14853" name="rect"/>
        <xdr:cNvSpPr/>
      </xdr:nvSpPr>
      <xdr:spPr>
        <a:xfrm>
          <a:off x="46691550" y="4134421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169</xdr:row>
      <xdr:rowOff>0</xdr:rowOff>
    </xdr:from>
    <xdr:to>
      <xdr:col>35</xdr:col>
      <xdr:colOff>511899</xdr:colOff>
      <xdr:row>170</xdr:row>
      <xdr:rowOff>101441</xdr:rowOff>
    </xdr:to>
    <xdr:sp>
      <xdr:nvSpPr>
        <xdr:cNvPr id="14860" name="rect"/>
        <xdr:cNvSpPr/>
      </xdr:nvSpPr>
      <xdr:spPr>
        <a:xfrm>
          <a:off x="46691550" y="4159948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169</xdr:row>
      <xdr:rowOff>0</xdr:rowOff>
    </xdr:from>
    <xdr:to>
      <xdr:col>35</xdr:col>
      <xdr:colOff>511899</xdr:colOff>
      <xdr:row>170</xdr:row>
      <xdr:rowOff>114300</xdr:rowOff>
    </xdr:to>
    <xdr:sp>
      <xdr:nvSpPr>
        <xdr:cNvPr id="14861" name="rect"/>
        <xdr:cNvSpPr/>
      </xdr:nvSpPr>
      <xdr:spPr>
        <a:xfrm>
          <a:off x="46691550" y="4159948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170</xdr:row>
      <xdr:rowOff>0</xdr:rowOff>
    </xdr:from>
    <xdr:to>
      <xdr:col>35</xdr:col>
      <xdr:colOff>511899</xdr:colOff>
      <xdr:row>171</xdr:row>
      <xdr:rowOff>101441</xdr:rowOff>
    </xdr:to>
    <xdr:sp>
      <xdr:nvSpPr>
        <xdr:cNvPr id="14868" name="rect"/>
        <xdr:cNvSpPr/>
      </xdr:nvSpPr>
      <xdr:spPr>
        <a:xfrm>
          <a:off x="46691550" y="4185475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170</xdr:row>
      <xdr:rowOff>0</xdr:rowOff>
    </xdr:from>
    <xdr:to>
      <xdr:col>35</xdr:col>
      <xdr:colOff>511899</xdr:colOff>
      <xdr:row>171</xdr:row>
      <xdr:rowOff>114300</xdr:rowOff>
    </xdr:to>
    <xdr:sp>
      <xdr:nvSpPr>
        <xdr:cNvPr id="14869" name="rect"/>
        <xdr:cNvSpPr/>
      </xdr:nvSpPr>
      <xdr:spPr>
        <a:xfrm>
          <a:off x="46691550" y="4185475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171</xdr:row>
      <xdr:rowOff>0</xdr:rowOff>
    </xdr:from>
    <xdr:to>
      <xdr:col>35</xdr:col>
      <xdr:colOff>511899</xdr:colOff>
      <xdr:row>172</xdr:row>
      <xdr:rowOff>101441</xdr:rowOff>
    </xdr:to>
    <xdr:sp>
      <xdr:nvSpPr>
        <xdr:cNvPr id="14884" name="rect"/>
        <xdr:cNvSpPr/>
      </xdr:nvSpPr>
      <xdr:spPr>
        <a:xfrm>
          <a:off x="46691550" y="4211002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171</xdr:row>
      <xdr:rowOff>0</xdr:rowOff>
    </xdr:from>
    <xdr:to>
      <xdr:col>35</xdr:col>
      <xdr:colOff>511899</xdr:colOff>
      <xdr:row>172</xdr:row>
      <xdr:rowOff>114300</xdr:rowOff>
    </xdr:to>
    <xdr:sp>
      <xdr:nvSpPr>
        <xdr:cNvPr id="14885" name="rect"/>
        <xdr:cNvSpPr/>
      </xdr:nvSpPr>
      <xdr:spPr>
        <a:xfrm>
          <a:off x="46691550" y="4211002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181</xdr:row>
      <xdr:rowOff>0</xdr:rowOff>
    </xdr:from>
    <xdr:to>
      <xdr:col>35</xdr:col>
      <xdr:colOff>511899</xdr:colOff>
      <xdr:row>182</xdr:row>
      <xdr:rowOff>101441</xdr:rowOff>
    </xdr:to>
    <xdr:sp>
      <xdr:nvSpPr>
        <xdr:cNvPr id="14892" name="rect"/>
        <xdr:cNvSpPr/>
      </xdr:nvSpPr>
      <xdr:spPr>
        <a:xfrm>
          <a:off x="46691550" y="4466272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181</xdr:row>
      <xdr:rowOff>0</xdr:rowOff>
    </xdr:from>
    <xdr:to>
      <xdr:col>35</xdr:col>
      <xdr:colOff>511899</xdr:colOff>
      <xdr:row>182</xdr:row>
      <xdr:rowOff>114300</xdr:rowOff>
    </xdr:to>
    <xdr:sp>
      <xdr:nvSpPr>
        <xdr:cNvPr id="14893" name="rect"/>
        <xdr:cNvSpPr/>
      </xdr:nvSpPr>
      <xdr:spPr>
        <a:xfrm>
          <a:off x="46691550" y="4466272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182</xdr:row>
      <xdr:rowOff>0</xdr:rowOff>
    </xdr:from>
    <xdr:to>
      <xdr:col>35</xdr:col>
      <xdr:colOff>511899</xdr:colOff>
      <xdr:row>183</xdr:row>
      <xdr:rowOff>101441</xdr:rowOff>
    </xdr:to>
    <xdr:sp>
      <xdr:nvSpPr>
        <xdr:cNvPr id="14900" name="rect"/>
        <xdr:cNvSpPr/>
      </xdr:nvSpPr>
      <xdr:spPr>
        <a:xfrm>
          <a:off x="46691550" y="4491799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182</xdr:row>
      <xdr:rowOff>0</xdr:rowOff>
    </xdr:from>
    <xdr:to>
      <xdr:col>35</xdr:col>
      <xdr:colOff>511899</xdr:colOff>
      <xdr:row>183</xdr:row>
      <xdr:rowOff>114300</xdr:rowOff>
    </xdr:to>
    <xdr:sp>
      <xdr:nvSpPr>
        <xdr:cNvPr id="14901" name="rect"/>
        <xdr:cNvSpPr/>
      </xdr:nvSpPr>
      <xdr:spPr>
        <a:xfrm>
          <a:off x="46691550" y="4491799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172</xdr:row>
      <xdr:rowOff>0</xdr:rowOff>
    </xdr:from>
    <xdr:to>
      <xdr:col>35</xdr:col>
      <xdr:colOff>511899</xdr:colOff>
      <xdr:row>173</xdr:row>
      <xdr:rowOff>101441</xdr:rowOff>
    </xdr:to>
    <xdr:sp>
      <xdr:nvSpPr>
        <xdr:cNvPr id="14932" name="rect"/>
        <xdr:cNvSpPr/>
      </xdr:nvSpPr>
      <xdr:spPr>
        <a:xfrm>
          <a:off x="46691550" y="4236529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172</xdr:row>
      <xdr:rowOff>0</xdr:rowOff>
    </xdr:from>
    <xdr:to>
      <xdr:col>35</xdr:col>
      <xdr:colOff>511899</xdr:colOff>
      <xdr:row>173</xdr:row>
      <xdr:rowOff>114300</xdr:rowOff>
    </xdr:to>
    <xdr:sp>
      <xdr:nvSpPr>
        <xdr:cNvPr id="14933" name="rect"/>
        <xdr:cNvSpPr/>
      </xdr:nvSpPr>
      <xdr:spPr>
        <a:xfrm>
          <a:off x="46691550" y="4236529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290959</xdr:rowOff>
    </xdr:to>
    <xdr:sp>
      <xdr:nvSpPr>
        <xdr:cNvPr id="15036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290959</xdr:rowOff>
    </xdr:to>
    <xdr:sp>
      <xdr:nvSpPr>
        <xdr:cNvPr id="15037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37653</xdr:rowOff>
    </xdr:to>
    <xdr:sp>
      <xdr:nvSpPr>
        <xdr:cNvPr id="15038" name="rect"/>
        <xdr:cNvSpPr/>
      </xdr:nvSpPr>
      <xdr:spPr>
        <a:xfrm>
          <a:off x="6983095" y="45428535"/>
          <a:ext cx="304800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303609</xdr:rowOff>
    </xdr:to>
    <xdr:sp>
      <xdr:nvSpPr>
        <xdr:cNvPr id="15039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303609</xdr:rowOff>
    </xdr:to>
    <xdr:sp>
      <xdr:nvSpPr>
        <xdr:cNvPr id="15040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303609</xdr:rowOff>
    </xdr:to>
    <xdr:sp>
      <xdr:nvSpPr>
        <xdr:cNvPr id="15041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25375</xdr:rowOff>
    </xdr:to>
    <xdr:sp>
      <xdr:nvSpPr>
        <xdr:cNvPr id="15067" name="rect"/>
        <xdr:cNvSpPr/>
      </xdr:nvSpPr>
      <xdr:spPr>
        <a:xfrm>
          <a:off x="6983095" y="45428535"/>
          <a:ext cx="304800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0</xdr:rowOff>
    </xdr:to>
    <xdr:sp>
      <xdr:nvSpPr>
        <xdr:cNvPr id="15080" name="rect"/>
        <xdr:cNvSpPr/>
      </xdr:nvSpPr>
      <xdr:spPr>
        <a:xfrm>
          <a:off x="94235270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0</xdr:rowOff>
    </xdr:to>
    <xdr:sp>
      <xdr:nvSpPr>
        <xdr:cNvPr id="15081" name="rect"/>
        <xdr:cNvSpPr/>
      </xdr:nvSpPr>
      <xdr:spPr>
        <a:xfrm>
          <a:off x="45814615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392794</xdr:rowOff>
    </xdr:to>
    <xdr:sp>
      <xdr:nvSpPr>
        <xdr:cNvPr id="15082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392794</xdr:rowOff>
    </xdr:to>
    <xdr:sp>
      <xdr:nvSpPr>
        <xdr:cNvPr id="15083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468696</xdr:rowOff>
    </xdr:to>
    <xdr:sp>
      <xdr:nvSpPr>
        <xdr:cNvPr id="15084" name="rect"/>
        <xdr:cNvSpPr/>
      </xdr:nvSpPr>
      <xdr:spPr>
        <a:xfrm>
          <a:off x="6983095" y="45428535"/>
          <a:ext cx="304800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430745</xdr:rowOff>
    </xdr:to>
    <xdr:sp>
      <xdr:nvSpPr>
        <xdr:cNvPr id="15085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430745</xdr:rowOff>
    </xdr:to>
    <xdr:sp>
      <xdr:nvSpPr>
        <xdr:cNvPr id="15086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193</xdr:row>
      <xdr:rowOff>164529</xdr:rowOff>
    </xdr:to>
    <xdr:sp>
      <xdr:nvSpPr>
        <xdr:cNvPr id="15096" name="rect"/>
        <xdr:cNvSpPr/>
      </xdr:nvSpPr>
      <xdr:spPr>
        <a:xfrm>
          <a:off x="94235270" y="45428535"/>
          <a:ext cx="305435" cy="2113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197</xdr:row>
      <xdr:rowOff>37951</xdr:rowOff>
    </xdr:to>
    <xdr:sp>
      <xdr:nvSpPr>
        <xdr:cNvPr id="15097" name="rect"/>
        <xdr:cNvSpPr/>
      </xdr:nvSpPr>
      <xdr:spPr>
        <a:xfrm>
          <a:off x="6983095" y="45428535"/>
          <a:ext cx="304800" cy="2723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193</xdr:row>
      <xdr:rowOff>189904</xdr:rowOff>
    </xdr:to>
    <xdr:sp>
      <xdr:nvSpPr>
        <xdr:cNvPr id="15098" name="rect"/>
        <xdr:cNvSpPr/>
      </xdr:nvSpPr>
      <xdr:spPr>
        <a:xfrm>
          <a:off x="94235270" y="45428535"/>
          <a:ext cx="305435" cy="2133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193</xdr:row>
      <xdr:rowOff>189904</xdr:rowOff>
    </xdr:to>
    <xdr:sp>
      <xdr:nvSpPr>
        <xdr:cNvPr id="15099" name="rect"/>
        <xdr:cNvSpPr/>
      </xdr:nvSpPr>
      <xdr:spPr>
        <a:xfrm>
          <a:off x="45814615" y="45428535"/>
          <a:ext cx="305435" cy="2133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193</xdr:row>
      <xdr:rowOff>164529</xdr:rowOff>
    </xdr:to>
    <xdr:sp>
      <xdr:nvSpPr>
        <xdr:cNvPr id="15101" name="rect"/>
        <xdr:cNvSpPr/>
      </xdr:nvSpPr>
      <xdr:spPr>
        <a:xfrm>
          <a:off x="45814615" y="45428535"/>
          <a:ext cx="305435" cy="2113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188</xdr:row>
      <xdr:rowOff>177626</xdr:rowOff>
    </xdr:to>
    <xdr:sp>
      <xdr:nvSpPr>
        <xdr:cNvPr id="15109" name="rect"/>
        <xdr:cNvSpPr/>
      </xdr:nvSpPr>
      <xdr:spPr>
        <a:xfrm>
          <a:off x="94235270" y="45428535"/>
          <a:ext cx="305435" cy="1059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188</xdr:row>
      <xdr:rowOff>177626</xdr:rowOff>
    </xdr:to>
    <xdr:sp>
      <xdr:nvSpPr>
        <xdr:cNvPr id="15110" name="rect"/>
        <xdr:cNvSpPr/>
      </xdr:nvSpPr>
      <xdr:spPr>
        <a:xfrm>
          <a:off x="45814615" y="45428535"/>
          <a:ext cx="305435" cy="1059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190</xdr:row>
      <xdr:rowOff>76125</xdr:rowOff>
    </xdr:to>
    <xdr:sp>
      <xdr:nvSpPr>
        <xdr:cNvPr id="15111" name="rect"/>
        <xdr:cNvSpPr/>
      </xdr:nvSpPr>
      <xdr:spPr>
        <a:xfrm>
          <a:off x="6983095" y="45428535"/>
          <a:ext cx="30480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37653</xdr:rowOff>
    </xdr:to>
    <xdr:sp>
      <xdr:nvSpPr>
        <xdr:cNvPr id="15112" name="rect"/>
        <xdr:cNvSpPr/>
      </xdr:nvSpPr>
      <xdr:spPr>
        <a:xfrm>
          <a:off x="94235270" y="45428535"/>
          <a:ext cx="30543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37653</xdr:rowOff>
    </xdr:to>
    <xdr:sp>
      <xdr:nvSpPr>
        <xdr:cNvPr id="15113" name="rect"/>
        <xdr:cNvSpPr/>
      </xdr:nvSpPr>
      <xdr:spPr>
        <a:xfrm>
          <a:off x="45814615" y="45428535"/>
          <a:ext cx="30543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432513</xdr:colOff>
      <xdr:row>184</xdr:row>
      <xdr:rowOff>0</xdr:rowOff>
    </xdr:from>
    <xdr:to>
      <xdr:col>8</xdr:col>
      <xdr:colOff>722275</xdr:colOff>
      <xdr:row>190</xdr:row>
      <xdr:rowOff>76125</xdr:rowOff>
    </xdr:to>
    <xdr:sp>
      <xdr:nvSpPr>
        <xdr:cNvPr id="15122" name="rect"/>
        <xdr:cNvSpPr/>
      </xdr:nvSpPr>
      <xdr:spPr>
        <a:xfrm>
          <a:off x="10539095" y="45428535"/>
          <a:ext cx="28956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0</xdr:rowOff>
    </xdr:to>
    <xdr:sp>
      <xdr:nvSpPr>
        <xdr:cNvPr id="15126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0</xdr:rowOff>
    </xdr:to>
    <xdr:sp>
      <xdr:nvSpPr>
        <xdr:cNvPr id="15127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76125</xdr:rowOff>
    </xdr:to>
    <xdr:sp>
      <xdr:nvSpPr>
        <xdr:cNvPr id="15177" name="rect"/>
        <xdr:cNvSpPr/>
      </xdr:nvSpPr>
      <xdr:spPr>
        <a:xfrm>
          <a:off x="94235270" y="45428535"/>
          <a:ext cx="30543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76125</xdr:rowOff>
    </xdr:to>
    <xdr:sp>
      <xdr:nvSpPr>
        <xdr:cNvPr id="15178" name="rect"/>
        <xdr:cNvSpPr/>
      </xdr:nvSpPr>
      <xdr:spPr>
        <a:xfrm>
          <a:off x="45814615" y="45428535"/>
          <a:ext cx="30543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177626</xdr:rowOff>
    </xdr:to>
    <xdr:sp>
      <xdr:nvSpPr>
        <xdr:cNvPr id="15179" name="rect"/>
        <xdr:cNvSpPr/>
      </xdr:nvSpPr>
      <xdr:spPr>
        <a:xfrm>
          <a:off x="6983095" y="45428535"/>
          <a:ext cx="304800" cy="361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139154</xdr:rowOff>
    </xdr:to>
    <xdr:sp>
      <xdr:nvSpPr>
        <xdr:cNvPr id="15180" name="rect"/>
        <xdr:cNvSpPr/>
      </xdr:nvSpPr>
      <xdr:spPr>
        <a:xfrm>
          <a:off x="94235270" y="45428535"/>
          <a:ext cx="305435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139154</xdr:rowOff>
    </xdr:to>
    <xdr:sp>
      <xdr:nvSpPr>
        <xdr:cNvPr id="15181" name="rect"/>
        <xdr:cNvSpPr/>
      </xdr:nvSpPr>
      <xdr:spPr>
        <a:xfrm>
          <a:off x="45814615" y="45428535"/>
          <a:ext cx="305435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50750</xdr:rowOff>
    </xdr:to>
    <xdr:sp>
      <xdr:nvSpPr>
        <xdr:cNvPr id="15191" name="rect"/>
        <xdr:cNvSpPr/>
      </xdr:nvSpPr>
      <xdr:spPr>
        <a:xfrm>
          <a:off x="94235270" y="45428535"/>
          <a:ext cx="305435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50750</xdr:rowOff>
    </xdr:to>
    <xdr:sp>
      <xdr:nvSpPr>
        <xdr:cNvPr id="15192" name="rect"/>
        <xdr:cNvSpPr/>
      </xdr:nvSpPr>
      <xdr:spPr>
        <a:xfrm>
          <a:off x="45814615" y="45428535"/>
          <a:ext cx="305435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25375</xdr:rowOff>
    </xdr:to>
    <xdr:sp>
      <xdr:nvSpPr>
        <xdr:cNvPr id="15193" name="rect"/>
        <xdr:cNvSpPr/>
      </xdr:nvSpPr>
      <xdr:spPr>
        <a:xfrm>
          <a:off x="94235270" y="45428535"/>
          <a:ext cx="305435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25375</xdr:rowOff>
    </xdr:to>
    <xdr:sp>
      <xdr:nvSpPr>
        <xdr:cNvPr id="15194" name="rect"/>
        <xdr:cNvSpPr/>
      </xdr:nvSpPr>
      <xdr:spPr>
        <a:xfrm>
          <a:off x="45814615" y="45428535"/>
          <a:ext cx="305435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126875</xdr:rowOff>
    </xdr:to>
    <xdr:sp>
      <xdr:nvSpPr>
        <xdr:cNvPr id="15197" name="rect"/>
        <xdr:cNvSpPr/>
      </xdr:nvSpPr>
      <xdr:spPr>
        <a:xfrm>
          <a:off x="6983095" y="454285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187</xdr:row>
      <xdr:rowOff>139154</xdr:rowOff>
    </xdr:to>
    <xdr:sp>
      <xdr:nvSpPr>
        <xdr:cNvPr id="15221" name="rect"/>
        <xdr:cNvSpPr/>
      </xdr:nvSpPr>
      <xdr:spPr>
        <a:xfrm>
          <a:off x="94235270" y="45428535"/>
          <a:ext cx="305435" cy="837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187</xdr:row>
      <xdr:rowOff>139154</xdr:rowOff>
    </xdr:to>
    <xdr:sp>
      <xdr:nvSpPr>
        <xdr:cNvPr id="15222" name="rect"/>
        <xdr:cNvSpPr/>
      </xdr:nvSpPr>
      <xdr:spPr>
        <a:xfrm>
          <a:off x="45814615" y="45428535"/>
          <a:ext cx="305435" cy="837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444028</xdr:rowOff>
    </xdr:to>
    <xdr:sp>
      <xdr:nvSpPr>
        <xdr:cNvPr id="15223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444028</xdr:rowOff>
    </xdr:to>
    <xdr:sp>
      <xdr:nvSpPr>
        <xdr:cNvPr id="15224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187</xdr:row>
      <xdr:rowOff>177626</xdr:rowOff>
    </xdr:to>
    <xdr:sp>
      <xdr:nvSpPr>
        <xdr:cNvPr id="15227" name="rect"/>
        <xdr:cNvSpPr/>
      </xdr:nvSpPr>
      <xdr:spPr>
        <a:xfrm>
          <a:off x="6983095" y="45428535"/>
          <a:ext cx="304800" cy="875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290959</xdr:rowOff>
    </xdr:to>
    <xdr:sp>
      <xdr:nvSpPr>
        <xdr:cNvPr id="15234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303609</xdr:rowOff>
    </xdr:to>
    <xdr:sp>
      <xdr:nvSpPr>
        <xdr:cNvPr id="15238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35</xdr:col>
      <xdr:colOff>16517</xdr:colOff>
      <xdr:row>186</xdr:row>
      <xdr:rowOff>81595</xdr:rowOff>
    </xdr:to>
    <xdr:sp>
      <xdr:nvSpPr>
        <xdr:cNvPr id="15264" name="rect"/>
        <xdr:cNvSpPr/>
      </xdr:nvSpPr>
      <xdr:spPr>
        <a:xfrm>
          <a:off x="45814615" y="45428535"/>
          <a:ext cx="68643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35</xdr:col>
      <xdr:colOff>16517</xdr:colOff>
      <xdr:row>186</xdr:row>
      <xdr:rowOff>87287</xdr:rowOff>
    </xdr:to>
    <xdr:sp>
      <xdr:nvSpPr>
        <xdr:cNvPr id="15265" name="rect"/>
        <xdr:cNvSpPr/>
      </xdr:nvSpPr>
      <xdr:spPr>
        <a:xfrm>
          <a:off x="45814615" y="45428535"/>
          <a:ext cx="68643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290959</xdr:rowOff>
    </xdr:to>
    <xdr:sp>
      <xdr:nvSpPr>
        <xdr:cNvPr id="15274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185</xdr:row>
      <xdr:rowOff>37653</xdr:rowOff>
    </xdr:to>
    <xdr:sp>
      <xdr:nvSpPr>
        <xdr:cNvPr id="15275" name="rect"/>
        <xdr:cNvSpPr/>
      </xdr:nvSpPr>
      <xdr:spPr>
        <a:xfrm>
          <a:off x="6195060" y="45428535"/>
          <a:ext cx="597535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184</xdr:row>
      <xdr:rowOff>303609</xdr:rowOff>
    </xdr:to>
    <xdr:sp>
      <xdr:nvSpPr>
        <xdr:cNvPr id="15276" name="rect"/>
        <xdr:cNvSpPr/>
      </xdr:nvSpPr>
      <xdr:spPr>
        <a:xfrm>
          <a:off x="6195060" y="45428535"/>
          <a:ext cx="5975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303609</xdr:rowOff>
    </xdr:to>
    <xdr:sp>
      <xdr:nvSpPr>
        <xdr:cNvPr id="15278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34</xdr:col>
      <xdr:colOff>16494</xdr:colOff>
      <xdr:row>186</xdr:row>
      <xdr:rowOff>81595</xdr:rowOff>
    </xdr:to>
    <xdr:sp>
      <xdr:nvSpPr>
        <xdr:cNvPr id="15303" name="rect"/>
        <xdr:cNvSpPr/>
      </xdr:nvSpPr>
      <xdr:spPr>
        <a:xfrm>
          <a:off x="44028995" y="45428535"/>
          <a:ext cx="159321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34</xdr:col>
      <xdr:colOff>16494</xdr:colOff>
      <xdr:row>186</xdr:row>
      <xdr:rowOff>87287</xdr:rowOff>
    </xdr:to>
    <xdr:sp>
      <xdr:nvSpPr>
        <xdr:cNvPr id="15304" name="rect"/>
        <xdr:cNvSpPr/>
      </xdr:nvSpPr>
      <xdr:spPr>
        <a:xfrm>
          <a:off x="44028995" y="45428535"/>
          <a:ext cx="159321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290959</xdr:rowOff>
    </xdr:to>
    <xdr:sp>
      <xdr:nvSpPr>
        <xdr:cNvPr id="15351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303609</xdr:rowOff>
    </xdr:to>
    <xdr:sp>
      <xdr:nvSpPr>
        <xdr:cNvPr id="15354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36</xdr:col>
      <xdr:colOff>17042</xdr:colOff>
      <xdr:row>186</xdr:row>
      <xdr:rowOff>81595</xdr:rowOff>
    </xdr:to>
    <xdr:sp>
      <xdr:nvSpPr>
        <xdr:cNvPr id="15369" name="rect"/>
        <xdr:cNvSpPr/>
      </xdr:nvSpPr>
      <xdr:spPr>
        <a:xfrm>
          <a:off x="46693455" y="454285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36</xdr:col>
      <xdr:colOff>17042</xdr:colOff>
      <xdr:row>186</xdr:row>
      <xdr:rowOff>87287</xdr:rowOff>
    </xdr:to>
    <xdr:sp>
      <xdr:nvSpPr>
        <xdr:cNvPr id="15370" name="rect"/>
        <xdr:cNvSpPr/>
      </xdr:nvSpPr>
      <xdr:spPr>
        <a:xfrm>
          <a:off x="46693455" y="4542853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37653</xdr:rowOff>
    </xdr:to>
    <xdr:sp>
      <xdr:nvSpPr>
        <xdr:cNvPr id="15383" name="rect"/>
        <xdr:cNvSpPr/>
      </xdr:nvSpPr>
      <xdr:spPr>
        <a:xfrm>
          <a:off x="94235270" y="45428535"/>
          <a:ext cx="305435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468696</xdr:rowOff>
    </xdr:to>
    <xdr:sp>
      <xdr:nvSpPr>
        <xdr:cNvPr id="15399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76125</xdr:rowOff>
    </xdr:to>
    <xdr:sp>
      <xdr:nvSpPr>
        <xdr:cNvPr id="15403" name="rect"/>
        <xdr:cNvSpPr/>
      </xdr:nvSpPr>
      <xdr:spPr>
        <a:xfrm>
          <a:off x="94235270" y="45428535"/>
          <a:ext cx="305435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177626</xdr:rowOff>
    </xdr:to>
    <xdr:sp>
      <xdr:nvSpPr>
        <xdr:cNvPr id="15422" name="rect"/>
        <xdr:cNvSpPr/>
      </xdr:nvSpPr>
      <xdr:spPr>
        <a:xfrm>
          <a:off x="94235270" y="45428535"/>
          <a:ext cx="305435" cy="361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126875</xdr:rowOff>
    </xdr:to>
    <xdr:sp>
      <xdr:nvSpPr>
        <xdr:cNvPr id="15426" name="rect"/>
        <xdr:cNvSpPr/>
      </xdr:nvSpPr>
      <xdr:spPr>
        <a:xfrm>
          <a:off x="94235270" y="45428535"/>
          <a:ext cx="305435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187</xdr:row>
      <xdr:rowOff>177626</xdr:rowOff>
    </xdr:to>
    <xdr:sp>
      <xdr:nvSpPr>
        <xdr:cNvPr id="15432" name="rect"/>
        <xdr:cNvSpPr/>
      </xdr:nvSpPr>
      <xdr:spPr>
        <a:xfrm>
          <a:off x="94235270" y="45428535"/>
          <a:ext cx="305435" cy="875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35</xdr:col>
      <xdr:colOff>513872</xdr:colOff>
      <xdr:row>186</xdr:row>
      <xdr:rowOff>87287</xdr:rowOff>
    </xdr:to>
    <xdr:sp>
      <xdr:nvSpPr>
        <xdr:cNvPr id="15447" name="rect"/>
        <xdr:cNvSpPr/>
      </xdr:nvSpPr>
      <xdr:spPr>
        <a:xfrm>
          <a:off x="46693455" y="45612685"/>
          <a:ext cx="304800" cy="2711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36</xdr:col>
      <xdr:colOff>17042</xdr:colOff>
      <xdr:row>186</xdr:row>
      <xdr:rowOff>290326</xdr:rowOff>
    </xdr:to>
    <xdr:sp>
      <xdr:nvSpPr>
        <xdr:cNvPr id="15455" name="rect"/>
        <xdr:cNvSpPr/>
      </xdr:nvSpPr>
      <xdr:spPr>
        <a:xfrm>
          <a:off x="46693455" y="45612685"/>
          <a:ext cx="2232025" cy="4743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36</xdr:col>
      <xdr:colOff>17042</xdr:colOff>
      <xdr:row>186</xdr:row>
      <xdr:rowOff>296019</xdr:rowOff>
    </xdr:to>
    <xdr:sp>
      <xdr:nvSpPr>
        <xdr:cNvPr id="15456" name="rect"/>
        <xdr:cNvSpPr/>
      </xdr:nvSpPr>
      <xdr:spPr>
        <a:xfrm>
          <a:off x="46693455" y="45612685"/>
          <a:ext cx="2232025" cy="4800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290326</xdr:rowOff>
    </xdr:to>
    <xdr:sp>
      <xdr:nvSpPr>
        <xdr:cNvPr id="15464" name="rect"/>
        <xdr:cNvSpPr/>
      </xdr:nvSpPr>
      <xdr:spPr>
        <a:xfrm>
          <a:off x="46693455" y="45796835"/>
          <a:ext cx="304800" cy="290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303609</xdr:rowOff>
    </xdr:to>
    <xdr:sp>
      <xdr:nvSpPr>
        <xdr:cNvPr id="15465" name="rect"/>
        <xdr:cNvSpPr/>
      </xdr:nvSpPr>
      <xdr:spPr>
        <a:xfrm>
          <a:off x="46693455" y="45796835"/>
          <a:ext cx="304800" cy="303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36</xdr:col>
      <xdr:colOff>17042</xdr:colOff>
      <xdr:row>188</xdr:row>
      <xdr:rowOff>81855</xdr:rowOff>
    </xdr:to>
    <xdr:sp>
      <xdr:nvSpPr>
        <xdr:cNvPr id="15472" name="rect"/>
        <xdr:cNvSpPr/>
      </xdr:nvSpPr>
      <xdr:spPr>
        <a:xfrm>
          <a:off x="46693455" y="45796835"/>
          <a:ext cx="2232025" cy="5956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36</xdr:col>
      <xdr:colOff>17042</xdr:colOff>
      <xdr:row>188</xdr:row>
      <xdr:rowOff>88403</xdr:rowOff>
    </xdr:to>
    <xdr:sp>
      <xdr:nvSpPr>
        <xdr:cNvPr id="15473" name="rect"/>
        <xdr:cNvSpPr/>
      </xdr:nvSpPr>
      <xdr:spPr>
        <a:xfrm>
          <a:off x="46693455" y="45796835"/>
          <a:ext cx="2232025" cy="602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35</xdr:col>
      <xdr:colOff>513872</xdr:colOff>
      <xdr:row>188</xdr:row>
      <xdr:rowOff>88403</xdr:rowOff>
    </xdr:to>
    <xdr:sp>
      <xdr:nvSpPr>
        <xdr:cNvPr id="15481" name="rect"/>
        <xdr:cNvSpPr/>
      </xdr:nvSpPr>
      <xdr:spPr>
        <a:xfrm>
          <a:off x="46693455" y="461270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36</xdr:col>
      <xdr:colOff>17042</xdr:colOff>
      <xdr:row>189</xdr:row>
      <xdr:rowOff>81855</xdr:rowOff>
    </xdr:to>
    <xdr:sp>
      <xdr:nvSpPr>
        <xdr:cNvPr id="15489" name="rect"/>
        <xdr:cNvSpPr/>
      </xdr:nvSpPr>
      <xdr:spPr>
        <a:xfrm>
          <a:off x="46693455" y="461270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36</xdr:col>
      <xdr:colOff>17042</xdr:colOff>
      <xdr:row>189</xdr:row>
      <xdr:rowOff>88403</xdr:rowOff>
    </xdr:to>
    <xdr:sp>
      <xdr:nvSpPr>
        <xdr:cNvPr id="15490" name="rect"/>
        <xdr:cNvSpPr/>
      </xdr:nvSpPr>
      <xdr:spPr>
        <a:xfrm>
          <a:off x="46693455" y="4612703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35</xdr:col>
      <xdr:colOff>513872</xdr:colOff>
      <xdr:row>189</xdr:row>
      <xdr:rowOff>88403</xdr:rowOff>
    </xdr:to>
    <xdr:sp>
      <xdr:nvSpPr>
        <xdr:cNvPr id="15498" name="rect"/>
        <xdr:cNvSpPr/>
      </xdr:nvSpPr>
      <xdr:spPr>
        <a:xfrm>
          <a:off x="46693455" y="463111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36</xdr:col>
      <xdr:colOff>17042</xdr:colOff>
      <xdr:row>190</xdr:row>
      <xdr:rowOff>81855</xdr:rowOff>
    </xdr:to>
    <xdr:sp>
      <xdr:nvSpPr>
        <xdr:cNvPr id="15506" name="rect"/>
        <xdr:cNvSpPr/>
      </xdr:nvSpPr>
      <xdr:spPr>
        <a:xfrm>
          <a:off x="46693455" y="4631118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36</xdr:col>
      <xdr:colOff>17042</xdr:colOff>
      <xdr:row>190</xdr:row>
      <xdr:rowOff>88403</xdr:rowOff>
    </xdr:to>
    <xdr:sp>
      <xdr:nvSpPr>
        <xdr:cNvPr id="15507" name="rect"/>
        <xdr:cNvSpPr/>
      </xdr:nvSpPr>
      <xdr:spPr>
        <a:xfrm>
          <a:off x="46693455" y="463111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35</xdr:col>
      <xdr:colOff>513872</xdr:colOff>
      <xdr:row>190</xdr:row>
      <xdr:rowOff>88403</xdr:rowOff>
    </xdr:to>
    <xdr:sp>
      <xdr:nvSpPr>
        <xdr:cNvPr id="15515" name="rect"/>
        <xdr:cNvSpPr/>
      </xdr:nvSpPr>
      <xdr:spPr>
        <a:xfrm>
          <a:off x="46693455" y="464953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36</xdr:col>
      <xdr:colOff>17042</xdr:colOff>
      <xdr:row>191</xdr:row>
      <xdr:rowOff>81595</xdr:rowOff>
    </xdr:to>
    <xdr:sp>
      <xdr:nvSpPr>
        <xdr:cNvPr id="15523" name="rect"/>
        <xdr:cNvSpPr/>
      </xdr:nvSpPr>
      <xdr:spPr>
        <a:xfrm>
          <a:off x="46693455" y="464953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36</xdr:col>
      <xdr:colOff>17042</xdr:colOff>
      <xdr:row>191</xdr:row>
      <xdr:rowOff>87287</xdr:rowOff>
    </xdr:to>
    <xdr:sp>
      <xdr:nvSpPr>
        <xdr:cNvPr id="15524" name="rect"/>
        <xdr:cNvSpPr/>
      </xdr:nvSpPr>
      <xdr:spPr>
        <a:xfrm>
          <a:off x="46693455" y="4649533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87287</xdr:rowOff>
    </xdr:to>
    <xdr:sp>
      <xdr:nvSpPr>
        <xdr:cNvPr id="15532" name="rect"/>
        <xdr:cNvSpPr/>
      </xdr:nvSpPr>
      <xdr:spPr>
        <a:xfrm>
          <a:off x="46693455" y="46679485"/>
          <a:ext cx="304800" cy="2711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36</xdr:col>
      <xdr:colOff>17042</xdr:colOff>
      <xdr:row>191</xdr:row>
      <xdr:rowOff>290326</xdr:rowOff>
    </xdr:to>
    <xdr:sp>
      <xdr:nvSpPr>
        <xdr:cNvPr id="15540" name="rect"/>
        <xdr:cNvSpPr/>
      </xdr:nvSpPr>
      <xdr:spPr>
        <a:xfrm>
          <a:off x="46693455" y="46679485"/>
          <a:ext cx="2232025" cy="4743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36</xdr:col>
      <xdr:colOff>17042</xdr:colOff>
      <xdr:row>191</xdr:row>
      <xdr:rowOff>296019</xdr:rowOff>
    </xdr:to>
    <xdr:sp>
      <xdr:nvSpPr>
        <xdr:cNvPr id="15541" name="rect"/>
        <xdr:cNvSpPr/>
      </xdr:nvSpPr>
      <xdr:spPr>
        <a:xfrm>
          <a:off x="46693455" y="46679485"/>
          <a:ext cx="2232025" cy="4800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290326</xdr:rowOff>
    </xdr:to>
    <xdr:sp>
      <xdr:nvSpPr>
        <xdr:cNvPr id="15549" name="rect"/>
        <xdr:cNvSpPr/>
      </xdr:nvSpPr>
      <xdr:spPr>
        <a:xfrm>
          <a:off x="46693455" y="46863635"/>
          <a:ext cx="304800" cy="290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303609</xdr:rowOff>
    </xdr:to>
    <xdr:sp>
      <xdr:nvSpPr>
        <xdr:cNvPr id="15550" name="rect"/>
        <xdr:cNvSpPr/>
      </xdr:nvSpPr>
      <xdr:spPr>
        <a:xfrm>
          <a:off x="46693455" y="46863635"/>
          <a:ext cx="304800" cy="303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36</xdr:col>
      <xdr:colOff>17042</xdr:colOff>
      <xdr:row>192</xdr:row>
      <xdr:rowOff>290959</xdr:rowOff>
    </xdr:to>
    <xdr:sp>
      <xdr:nvSpPr>
        <xdr:cNvPr id="15557" name="rect"/>
        <xdr:cNvSpPr/>
      </xdr:nvSpPr>
      <xdr:spPr>
        <a:xfrm>
          <a:off x="46693455" y="46863635"/>
          <a:ext cx="2232025" cy="5143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36</xdr:col>
      <xdr:colOff>17042</xdr:colOff>
      <xdr:row>192</xdr:row>
      <xdr:rowOff>297284</xdr:rowOff>
    </xdr:to>
    <xdr:sp>
      <xdr:nvSpPr>
        <xdr:cNvPr id="15558" name="rect"/>
        <xdr:cNvSpPr/>
      </xdr:nvSpPr>
      <xdr:spPr>
        <a:xfrm>
          <a:off x="46693455" y="46863635"/>
          <a:ext cx="2232025" cy="5143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290959</xdr:rowOff>
    </xdr:to>
    <xdr:sp>
      <xdr:nvSpPr>
        <xdr:cNvPr id="15566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303609</xdr:rowOff>
    </xdr:to>
    <xdr:sp>
      <xdr:nvSpPr>
        <xdr:cNvPr id="15567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36</xdr:col>
      <xdr:colOff>17042</xdr:colOff>
      <xdr:row>194</xdr:row>
      <xdr:rowOff>81855</xdr:rowOff>
    </xdr:to>
    <xdr:sp>
      <xdr:nvSpPr>
        <xdr:cNvPr id="15574" name="rect"/>
        <xdr:cNvSpPr/>
      </xdr:nvSpPr>
      <xdr:spPr>
        <a:xfrm>
          <a:off x="46693455" y="471938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36</xdr:col>
      <xdr:colOff>17042</xdr:colOff>
      <xdr:row>194</xdr:row>
      <xdr:rowOff>88403</xdr:rowOff>
    </xdr:to>
    <xdr:sp>
      <xdr:nvSpPr>
        <xdr:cNvPr id="15575" name="rect"/>
        <xdr:cNvSpPr/>
      </xdr:nvSpPr>
      <xdr:spPr>
        <a:xfrm>
          <a:off x="46693455" y="4719383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35</xdr:col>
      <xdr:colOff>513872</xdr:colOff>
      <xdr:row>194</xdr:row>
      <xdr:rowOff>88403</xdr:rowOff>
    </xdr:to>
    <xdr:sp>
      <xdr:nvSpPr>
        <xdr:cNvPr id="15583" name="rect"/>
        <xdr:cNvSpPr/>
      </xdr:nvSpPr>
      <xdr:spPr>
        <a:xfrm>
          <a:off x="46693455" y="473779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80962</xdr:rowOff>
    </xdr:to>
    <xdr:sp>
      <xdr:nvSpPr>
        <xdr:cNvPr id="15591" name="rect"/>
        <xdr:cNvSpPr/>
      </xdr:nvSpPr>
      <xdr:spPr>
        <a:xfrm>
          <a:off x="46693455" y="47377985"/>
          <a:ext cx="2232025" cy="4489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88552</xdr:rowOff>
    </xdr:to>
    <xdr:sp>
      <xdr:nvSpPr>
        <xdr:cNvPr id="15592" name="rect"/>
        <xdr:cNvSpPr/>
      </xdr:nvSpPr>
      <xdr:spPr>
        <a:xfrm>
          <a:off x="46693455" y="473779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87287</xdr:rowOff>
    </xdr:to>
    <xdr:sp>
      <xdr:nvSpPr>
        <xdr:cNvPr id="15594" name="rect"/>
        <xdr:cNvSpPr/>
      </xdr:nvSpPr>
      <xdr:spPr>
        <a:xfrm>
          <a:off x="46693455" y="4737798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35</xdr:col>
      <xdr:colOff>513872</xdr:colOff>
      <xdr:row>195</xdr:row>
      <xdr:rowOff>88552</xdr:rowOff>
    </xdr:to>
    <xdr:sp>
      <xdr:nvSpPr>
        <xdr:cNvPr id="15600" name="rect"/>
        <xdr:cNvSpPr/>
      </xdr:nvSpPr>
      <xdr:spPr>
        <a:xfrm>
          <a:off x="46693455" y="475621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36</xdr:col>
      <xdr:colOff>17042</xdr:colOff>
      <xdr:row>195</xdr:row>
      <xdr:rowOff>290959</xdr:rowOff>
    </xdr:to>
    <xdr:sp>
      <xdr:nvSpPr>
        <xdr:cNvPr id="15608" name="rect"/>
        <xdr:cNvSpPr/>
      </xdr:nvSpPr>
      <xdr:spPr>
        <a:xfrm>
          <a:off x="46693455" y="47562135"/>
          <a:ext cx="223202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36</xdr:col>
      <xdr:colOff>17042</xdr:colOff>
      <xdr:row>195</xdr:row>
      <xdr:rowOff>297284</xdr:rowOff>
    </xdr:to>
    <xdr:sp>
      <xdr:nvSpPr>
        <xdr:cNvPr id="15609" name="rect"/>
        <xdr:cNvSpPr/>
      </xdr:nvSpPr>
      <xdr:spPr>
        <a:xfrm>
          <a:off x="46693455" y="47562135"/>
          <a:ext cx="223202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290959</xdr:rowOff>
    </xdr:to>
    <xdr:sp>
      <xdr:nvSpPr>
        <xdr:cNvPr id="15634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303609</xdr:rowOff>
    </xdr:to>
    <xdr:sp>
      <xdr:nvSpPr>
        <xdr:cNvPr id="15635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80962</xdr:rowOff>
    </xdr:to>
    <xdr:sp>
      <xdr:nvSpPr>
        <xdr:cNvPr id="15642" name="rect"/>
        <xdr:cNvSpPr/>
      </xdr:nvSpPr>
      <xdr:spPr>
        <a:xfrm>
          <a:off x="46693455" y="47746285"/>
          <a:ext cx="2232025" cy="4489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88552</xdr:rowOff>
    </xdr:to>
    <xdr:sp>
      <xdr:nvSpPr>
        <xdr:cNvPr id="15643" name="rect"/>
        <xdr:cNvSpPr/>
      </xdr:nvSpPr>
      <xdr:spPr>
        <a:xfrm>
          <a:off x="46693455" y="477462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87287</xdr:rowOff>
    </xdr:to>
    <xdr:sp>
      <xdr:nvSpPr>
        <xdr:cNvPr id="15645" name="rect"/>
        <xdr:cNvSpPr/>
      </xdr:nvSpPr>
      <xdr:spPr>
        <a:xfrm>
          <a:off x="46693455" y="4774628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35</xdr:col>
      <xdr:colOff>513872</xdr:colOff>
      <xdr:row>199</xdr:row>
      <xdr:rowOff>88403</xdr:rowOff>
    </xdr:to>
    <xdr:sp>
      <xdr:nvSpPr>
        <xdr:cNvPr id="15651" name="rect"/>
        <xdr:cNvSpPr/>
      </xdr:nvSpPr>
      <xdr:spPr>
        <a:xfrm>
          <a:off x="46693455" y="484447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36</xdr:col>
      <xdr:colOff>17042</xdr:colOff>
      <xdr:row>200</xdr:row>
      <xdr:rowOff>81855</xdr:rowOff>
    </xdr:to>
    <xdr:sp>
      <xdr:nvSpPr>
        <xdr:cNvPr id="15659" name="rect"/>
        <xdr:cNvSpPr/>
      </xdr:nvSpPr>
      <xdr:spPr>
        <a:xfrm>
          <a:off x="46693455" y="4844478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36</xdr:col>
      <xdr:colOff>17042</xdr:colOff>
      <xdr:row>200</xdr:row>
      <xdr:rowOff>88403</xdr:rowOff>
    </xdr:to>
    <xdr:sp>
      <xdr:nvSpPr>
        <xdr:cNvPr id="15660" name="rect"/>
        <xdr:cNvSpPr/>
      </xdr:nvSpPr>
      <xdr:spPr>
        <a:xfrm>
          <a:off x="46693455" y="484447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88403</xdr:rowOff>
    </xdr:to>
    <xdr:sp>
      <xdr:nvSpPr>
        <xdr:cNvPr id="15668" name="rect"/>
        <xdr:cNvSpPr/>
      </xdr:nvSpPr>
      <xdr:spPr>
        <a:xfrm>
          <a:off x="46693455" y="486289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81855</xdr:rowOff>
    </xdr:to>
    <xdr:sp>
      <xdr:nvSpPr>
        <xdr:cNvPr id="15676" name="rect"/>
        <xdr:cNvSpPr/>
      </xdr:nvSpPr>
      <xdr:spPr>
        <a:xfrm>
          <a:off x="46693455" y="48628935"/>
          <a:ext cx="2232025" cy="63106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88552</xdr:rowOff>
    </xdr:to>
    <xdr:sp>
      <xdr:nvSpPr>
        <xdr:cNvPr id="15677" name="rect"/>
        <xdr:cNvSpPr/>
      </xdr:nvSpPr>
      <xdr:spPr>
        <a:xfrm>
          <a:off x="46693455" y="48628935"/>
          <a:ext cx="2232025" cy="6317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87808</xdr:rowOff>
    </xdr:to>
    <xdr:sp>
      <xdr:nvSpPr>
        <xdr:cNvPr id="15679" name="rect"/>
        <xdr:cNvSpPr/>
      </xdr:nvSpPr>
      <xdr:spPr>
        <a:xfrm>
          <a:off x="46693455" y="48628935"/>
          <a:ext cx="2232025" cy="6316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189755</xdr:rowOff>
    </xdr:to>
    <xdr:sp>
      <xdr:nvSpPr>
        <xdr:cNvPr id="15685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189755</xdr:rowOff>
    </xdr:to>
    <xdr:sp>
      <xdr:nvSpPr>
        <xdr:cNvPr id="15686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189755</xdr:rowOff>
    </xdr:to>
    <xdr:sp>
      <xdr:nvSpPr>
        <xdr:cNvPr id="15687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177105</xdr:rowOff>
    </xdr:to>
    <xdr:sp>
      <xdr:nvSpPr>
        <xdr:cNvPr id="15714" name="rect"/>
        <xdr:cNvSpPr/>
      </xdr:nvSpPr>
      <xdr:spPr>
        <a:xfrm>
          <a:off x="94235270" y="45428535"/>
          <a:ext cx="305435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177105</xdr:rowOff>
    </xdr:to>
    <xdr:sp>
      <xdr:nvSpPr>
        <xdr:cNvPr id="15715" name="rect"/>
        <xdr:cNvSpPr/>
      </xdr:nvSpPr>
      <xdr:spPr>
        <a:xfrm>
          <a:off x="45814615" y="45428535"/>
          <a:ext cx="305435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177105</xdr:rowOff>
    </xdr:to>
    <xdr:sp>
      <xdr:nvSpPr>
        <xdr:cNvPr id="15716" name="rect"/>
        <xdr:cNvSpPr/>
      </xdr:nvSpPr>
      <xdr:spPr>
        <a:xfrm>
          <a:off x="6983095" y="45428535"/>
          <a:ext cx="304800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12278</xdr:rowOff>
    </xdr:to>
    <xdr:sp>
      <xdr:nvSpPr>
        <xdr:cNvPr id="15729" name="rect"/>
        <xdr:cNvSpPr/>
      </xdr:nvSpPr>
      <xdr:spPr>
        <a:xfrm>
          <a:off x="94235270" y="45428535"/>
          <a:ext cx="305435" cy="196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12278</xdr:rowOff>
    </xdr:to>
    <xdr:sp>
      <xdr:nvSpPr>
        <xdr:cNvPr id="15730" name="rect"/>
        <xdr:cNvSpPr/>
      </xdr:nvSpPr>
      <xdr:spPr>
        <a:xfrm>
          <a:off x="45814615" y="45428535"/>
          <a:ext cx="305435" cy="196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189904</xdr:rowOff>
    </xdr:to>
    <xdr:sp>
      <xdr:nvSpPr>
        <xdr:cNvPr id="15731" name="rect"/>
        <xdr:cNvSpPr/>
      </xdr:nvSpPr>
      <xdr:spPr>
        <a:xfrm>
          <a:off x="94235270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189904</xdr:rowOff>
    </xdr:to>
    <xdr:sp>
      <xdr:nvSpPr>
        <xdr:cNvPr id="15732" name="rect"/>
        <xdr:cNvSpPr/>
      </xdr:nvSpPr>
      <xdr:spPr>
        <a:xfrm>
          <a:off x="45814615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0</xdr:rowOff>
    </xdr:to>
    <xdr:sp>
      <xdr:nvSpPr>
        <xdr:cNvPr id="15733" name="rect"/>
        <xdr:cNvSpPr/>
      </xdr:nvSpPr>
      <xdr:spPr>
        <a:xfrm>
          <a:off x="6983095" y="45428535"/>
          <a:ext cx="30480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50750</xdr:rowOff>
    </xdr:to>
    <xdr:sp>
      <xdr:nvSpPr>
        <xdr:cNvPr id="15745" name="rect"/>
        <xdr:cNvSpPr/>
      </xdr:nvSpPr>
      <xdr:spPr>
        <a:xfrm>
          <a:off x="94235270" y="45428535"/>
          <a:ext cx="30543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191</xdr:row>
      <xdr:rowOff>379511</xdr:rowOff>
    </xdr:to>
    <xdr:sp>
      <xdr:nvSpPr>
        <xdr:cNvPr id="15746" name="rect"/>
        <xdr:cNvSpPr/>
      </xdr:nvSpPr>
      <xdr:spPr>
        <a:xfrm>
          <a:off x="6983095" y="45428535"/>
          <a:ext cx="304800" cy="1765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76125</xdr:rowOff>
    </xdr:to>
    <xdr:sp>
      <xdr:nvSpPr>
        <xdr:cNvPr id="15748" name="rect"/>
        <xdr:cNvSpPr/>
      </xdr:nvSpPr>
      <xdr:spPr>
        <a:xfrm>
          <a:off x="45814615" y="45428535"/>
          <a:ext cx="305435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50750</xdr:rowOff>
    </xdr:to>
    <xdr:sp>
      <xdr:nvSpPr>
        <xdr:cNvPr id="15750" name="rect"/>
        <xdr:cNvSpPr/>
      </xdr:nvSpPr>
      <xdr:spPr>
        <a:xfrm>
          <a:off x="45814615" y="45428535"/>
          <a:ext cx="30543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176472</xdr:rowOff>
    </xdr:to>
    <xdr:sp>
      <xdr:nvSpPr>
        <xdr:cNvPr id="15758" name="rect"/>
        <xdr:cNvSpPr/>
      </xdr:nvSpPr>
      <xdr:spPr>
        <a:xfrm>
          <a:off x="94235270" y="45428535"/>
          <a:ext cx="305435" cy="544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176472</xdr:rowOff>
    </xdr:to>
    <xdr:sp>
      <xdr:nvSpPr>
        <xdr:cNvPr id="15759" name="rect"/>
        <xdr:cNvSpPr/>
      </xdr:nvSpPr>
      <xdr:spPr>
        <a:xfrm>
          <a:off x="45814615" y="45428535"/>
          <a:ext cx="305435" cy="544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368126</xdr:rowOff>
    </xdr:to>
    <xdr:sp>
      <xdr:nvSpPr>
        <xdr:cNvPr id="15760" name="rect"/>
        <xdr:cNvSpPr/>
      </xdr:nvSpPr>
      <xdr:spPr>
        <a:xfrm>
          <a:off x="6983095" y="45428535"/>
          <a:ext cx="304800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341560</xdr:rowOff>
    </xdr:to>
    <xdr:sp>
      <xdr:nvSpPr>
        <xdr:cNvPr id="15761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341560</xdr:rowOff>
    </xdr:to>
    <xdr:sp>
      <xdr:nvSpPr>
        <xdr:cNvPr id="15762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215056</xdr:rowOff>
    </xdr:to>
    <xdr:sp>
      <xdr:nvSpPr>
        <xdr:cNvPr id="15825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215056</xdr:rowOff>
    </xdr:to>
    <xdr:sp>
      <xdr:nvSpPr>
        <xdr:cNvPr id="15826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316259</xdr:rowOff>
    </xdr:to>
    <xdr:sp>
      <xdr:nvSpPr>
        <xdr:cNvPr id="15827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278308</xdr:rowOff>
    </xdr:to>
    <xdr:sp>
      <xdr:nvSpPr>
        <xdr:cNvPr id="15828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278308</xdr:rowOff>
    </xdr:to>
    <xdr:sp>
      <xdr:nvSpPr>
        <xdr:cNvPr id="15829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253007</xdr:rowOff>
    </xdr:to>
    <xdr:sp>
      <xdr:nvSpPr>
        <xdr:cNvPr id="15845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24668</xdr:rowOff>
    </xdr:to>
    <xdr:sp>
      <xdr:nvSpPr>
        <xdr:cNvPr id="15869" name="rect"/>
        <xdr:cNvSpPr/>
      </xdr:nvSpPr>
      <xdr:spPr>
        <a:xfrm>
          <a:off x="94235270" y="45428535"/>
          <a:ext cx="305435" cy="3924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24668</xdr:rowOff>
    </xdr:to>
    <xdr:sp>
      <xdr:nvSpPr>
        <xdr:cNvPr id="15870" name="rect"/>
        <xdr:cNvSpPr/>
      </xdr:nvSpPr>
      <xdr:spPr>
        <a:xfrm>
          <a:off x="45814615" y="45428535"/>
          <a:ext cx="305435" cy="3924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62619</xdr:rowOff>
    </xdr:to>
    <xdr:sp>
      <xdr:nvSpPr>
        <xdr:cNvPr id="15875" name="rect"/>
        <xdr:cNvSpPr/>
      </xdr:nvSpPr>
      <xdr:spPr>
        <a:xfrm>
          <a:off x="6983095" y="45428535"/>
          <a:ext cx="304800" cy="430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189755</xdr:rowOff>
    </xdr:to>
    <xdr:sp>
      <xdr:nvSpPr>
        <xdr:cNvPr id="15882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189755</xdr:rowOff>
    </xdr:to>
    <xdr:sp>
      <xdr:nvSpPr>
        <xdr:cNvPr id="15922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184</xdr:row>
      <xdr:rowOff>189755</xdr:rowOff>
    </xdr:to>
    <xdr:sp>
      <xdr:nvSpPr>
        <xdr:cNvPr id="15923" name="rect"/>
        <xdr:cNvSpPr/>
      </xdr:nvSpPr>
      <xdr:spPr>
        <a:xfrm>
          <a:off x="6195060" y="45428535"/>
          <a:ext cx="5975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189755</xdr:rowOff>
    </xdr:to>
    <xdr:sp>
      <xdr:nvSpPr>
        <xdr:cNvPr id="15999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368126</xdr:rowOff>
    </xdr:to>
    <xdr:sp>
      <xdr:nvSpPr>
        <xdr:cNvPr id="16051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316259</xdr:rowOff>
    </xdr:to>
    <xdr:sp>
      <xdr:nvSpPr>
        <xdr:cNvPr id="16070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253007</xdr:rowOff>
    </xdr:to>
    <xdr:sp>
      <xdr:nvSpPr>
        <xdr:cNvPr id="16074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62619</xdr:rowOff>
    </xdr:to>
    <xdr:sp>
      <xdr:nvSpPr>
        <xdr:cNvPr id="16080" name="rect"/>
        <xdr:cNvSpPr/>
      </xdr:nvSpPr>
      <xdr:spPr>
        <a:xfrm>
          <a:off x="94235270" y="45428535"/>
          <a:ext cx="305435" cy="430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35</xdr:col>
      <xdr:colOff>513872</xdr:colOff>
      <xdr:row>185</xdr:row>
      <xdr:rowOff>189904</xdr:rowOff>
    </xdr:to>
    <xdr:sp>
      <xdr:nvSpPr>
        <xdr:cNvPr id="16095" name="rect"/>
        <xdr:cNvSpPr/>
      </xdr:nvSpPr>
      <xdr:spPr>
        <a:xfrm>
          <a:off x="46693455" y="456126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189755</xdr:rowOff>
    </xdr:to>
    <xdr:sp>
      <xdr:nvSpPr>
        <xdr:cNvPr id="16112" name="rect"/>
        <xdr:cNvSpPr/>
      </xdr:nvSpPr>
      <xdr:spPr>
        <a:xfrm>
          <a:off x="46693455" y="45796835"/>
          <a:ext cx="304800" cy="1892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35</xdr:col>
      <xdr:colOff>513872</xdr:colOff>
      <xdr:row>187</xdr:row>
      <xdr:rowOff>189904</xdr:rowOff>
    </xdr:to>
    <xdr:sp>
      <xdr:nvSpPr>
        <xdr:cNvPr id="16129" name="rect"/>
        <xdr:cNvSpPr/>
      </xdr:nvSpPr>
      <xdr:spPr>
        <a:xfrm>
          <a:off x="46693455" y="461270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35</xdr:col>
      <xdr:colOff>513872</xdr:colOff>
      <xdr:row>188</xdr:row>
      <xdr:rowOff>189904</xdr:rowOff>
    </xdr:to>
    <xdr:sp>
      <xdr:nvSpPr>
        <xdr:cNvPr id="16146" name="rect"/>
        <xdr:cNvSpPr/>
      </xdr:nvSpPr>
      <xdr:spPr>
        <a:xfrm>
          <a:off x="46693455" y="463111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35</xdr:col>
      <xdr:colOff>513872</xdr:colOff>
      <xdr:row>189</xdr:row>
      <xdr:rowOff>189904</xdr:rowOff>
    </xdr:to>
    <xdr:sp>
      <xdr:nvSpPr>
        <xdr:cNvPr id="16163" name="rect"/>
        <xdr:cNvSpPr/>
      </xdr:nvSpPr>
      <xdr:spPr>
        <a:xfrm>
          <a:off x="46693455" y="464953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62619</xdr:rowOff>
    </xdr:to>
    <xdr:sp>
      <xdr:nvSpPr>
        <xdr:cNvPr id="16180" name="rect"/>
        <xdr:cNvSpPr/>
      </xdr:nvSpPr>
      <xdr:spPr>
        <a:xfrm>
          <a:off x="46693455" y="46679485"/>
          <a:ext cx="304800" cy="2463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75902</xdr:rowOff>
    </xdr:to>
    <xdr:sp>
      <xdr:nvSpPr>
        <xdr:cNvPr id="16181" name="rect"/>
        <xdr:cNvSpPr/>
      </xdr:nvSpPr>
      <xdr:spPr>
        <a:xfrm>
          <a:off x="46693455" y="4667948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189755</xdr:rowOff>
    </xdr:to>
    <xdr:sp>
      <xdr:nvSpPr>
        <xdr:cNvPr id="16197" name="rect"/>
        <xdr:cNvSpPr/>
      </xdr:nvSpPr>
      <xdr:spPr>
        <a:xfrm>
          <a:off x="46693455" y="46863635"/>
          <a:ext cx="304800" cy="1892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189755</xdr:rowOff>
    </xdr:to>
    <xdr:sp>
      <xdr:nvSpPr>
        <xdr:cNvPr id="16214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35</xdr:col>
      <xdr:colOff>513872</xdr:colOff>
      <xdr:row>193</xdr:row>
      <xdr:rowOff>189904</xdr:rowOff>
    </xdr:to>
    <xdr:sp>
      <xdr:nvSpPr>
        <xdr:cNvPr id="16231" name="rect"/>
        <xdr:cNvSpPr/>
      </xdr:nvSpPr>
      <xdr:spPr>
        <a:xfrm>
          <a:off x="46693455" y="473779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35</xdr:col>
      <xdr:colOff>513872</xdr:colOff>
      <xdr:row>194</xdr:row>
      <xdr:rowOff>189904</xdr:rowOff>
    </xdr:to>
    <xdr:sp>
      <xdr:nvSpPr>
        <xdr:cNvPr id="16248" name="rect"/>
        <xdr:cNvSpPr/>
      </xdr:nvSpPr>
      <xdr:spPr>
        <a:xfrm>
          <a:off x="46693455" y="475621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189755</xdr:rowOff>
    </xdr:to>
    <xdr:sp>
      <xdr:nvSpPr>
        <xdr:cNvPr id="16282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35</xdr:col>
      <xdr:colOff>513872</xdr:colOff>
      <xdr:row>198</xdr:row>
      <xdr:rowOff>189904</xdr:rowOff>
    </xdr:to>
    <xdr:sp>
      <xdr:nvSpPr>
        <xdr:cNvPr id="16299" name="rect"/>
        <xdr:cNvSpPr/>
      </xdr:nvSpPr>
      <xdr:spPr>
        <a:xfrm>
          <a:off x="46693455" y="484447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63028</xdr:rowOff>
    </xdr:to>
    <xdr:sp>
      <xdr:nvSpPr>
        <xdr:cNvPr id="16316" name="rect"/>
        <xdr:cNvSpPr/>
      </xdr:nvSpPr>
      <xdr:spPr>
        <a:xfrm>
          <a:off x="46693455" y="486289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76125</xdr:rowOff>
    </xdr:to>
    <xdr:sp>
      <xdr:nvSpPr>
        <xdr:cNvPr id="16317" name="rect"/>
        <xdr:cNvSpPr/>
      </xdr:nvSpPr>
      <xdr:spPr>
        <a:xfrm>
          <a:off x="46693455" y="486289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196</xdr:row>
      <xdr:rowOff>88403</xdr:rowOff>
    </xdr:to>
    <xdr:sp>
      <xdr:nvSpPr>
        <xdr:cNvPr id="16333" name="rect"/>
        <xdr:cNvSpPr/>
      </xdr:nvSpPr>
      <xdr:spPr>
        <a:xfrm>
          <a:off x="46693455" y="477462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35</xdr:col>
      <xdr:colOff>513872</xdr:colOff>
      <xdr:row>197</xdr:row>
      <xdr:rowOff>0</xdr:rowOff>
    </xdr:to>
    <xdr:sp>
      <xdr:nvSpPr>
        <xdr:cNvPr id="16367" name="rect"/>
        <xdr:cNvSpPr/>
      </xdr:nvSpPr>
      <xdr:spPr>
        <a:xfrm>
          <a:off x="46693455" y="479304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36</xdr:col>
      <xdr:colOff>17042</xdr:colOff>
      <xdr:row>197</xdr:row>
      <xdr:rowOff>290959</xdr:rowOff>
    </xdr:to>
    <xdr:sp>
      <xdr:nvSpPr>
        <xdr:cNvPr id="16375" name="rect"/>
        <xdr:cNvSpPr/>
      </xdr:nvSpPr>
      <xdr:spPr>
        <a:xfrm>
          <a:off x="46693455" y="47930435"/>
          <a:ext cx="2232025" cy="474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36</xdr:col>
      <xdr:colOff>17042</xdr:colOff>
      <xdr:row>197</xdr:row>
      <xdr:rowOff>297284</xdr:rowOff>
    </xdr:to>
    <xdr:sp>
      <xdr:nvSpPr>
        <xdr:cNvPr id="16376" name="rect"/>
        <xdr:cNvSpPr/>
      </xdr:nvSpPr>
      <xdr:spPr>
        <a:xfrm>
          <a:off x="46693455" y="47930435"/>
          <a:ext cx="2232025" cy="4813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35</xdr:col>
      <xdr:colOff>513872</xdr:colOff>
      <xdr:row>196</xdr:row>
      <xdr:rowOff>189904</xdr:rowOff>
    </xdr:to>
    <xdr:sp>
      <xdr:nvSpPr>
        <xdr:cNvPr id="16402" name="rect"/>
        <xdr:cNvSpPr/>
      </xdr:nvSpPr>
      <xdr:spPr>
        <a:xfrm>
          <a:off x="46693455" y="479304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75902</xdr:rowOff>
    </xdr:to>
    <xdr:sp>
      <xdr:nvSpPr>
        <xdr:cNvPr id="8327" name="rect"/>
        <xdr:cNvSpPr/>
      </xdr:nvSpPr>
      <xdr:spPr>
        <a:xfrm>
          <a:off x="69608065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75902</xdr:rowOff>
    </xdr:to>
    <xdr:sp>
      <xdr:nvSpPr>
        <xdr:cNvPr id="8328" name="rect"/>
        <xdr:cNvSpPr/>
      </xdr:nvSpPr>
      <xdr:spPr>
        <a:xfrm>
          <a:off x="32392620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151804</xdr:rowOff>
    </xdr:to>
    <xdr:sp>
      <xdr:nvSpPr>
        <xdr:cNvPr id="8329" name="rect"/>
        <xdr:cNvSpPr/>
      </xdr:nvSpPr>
      <xdr:spPr>
        <a:xfrm>
          <a:off x="4008755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88552</xdr:rowOff>
    </xdr:to>
    <xdr:sp>
      <xdr:nvSpPr>
        <xdr:cNvPr id="8330" name="rect"/>
        <xdr:cNvSpPr/>
      </xdr:nvSpPr>
      <xdr:spPr>
        <a:xfrm>
          <a:off x="400875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88552</xdr:rowOff>
    </xdr:to>
    <xdr:sp>
      <xdr:nvSpPr>
        <xdr:cNvPr id="8331" name="rect"/>
        <xdr:cNvSpPr/>
      </xdr:nvSpPr>
      <xdr:spPr>
        <a:xfrm>
          <a:off x="6960806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88552</xdr:rowOff>
    </xdr:to>
    <xdr:sp>
      <xdr:nvSpPr>
        <xdr:cNvPr id="8332" name="rect"/>
        <xdr:cNvSpPr/>
      </xdr:nvSpPr>
      <xdr:spPr>
        <a:xfrm>
          <a:off x="32392620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139154</xdr:rowOff>
    </xdr:to>
    <xdr:sp>
      <xdr:nvSpPr>
        <xdr:cNvPr id="8358" name="rect"/>
        <xdr:cNvSpPr/>
      </xdr:nvSpPr>
      <xdr:spPr>
        <a:xfrm>
          <a:off x="4008755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113853</xdr:rowOff>
    </xdr:to>
    <xdr:sp>
      <xdr:nvSpPr>
        <xdr:cNvPr id="8374" name="rect"/>
        <xdr:cNvSpPr/>
      </xdr:nvSpPr>
      <xdr:spPr>
        <a:xfrm>
          <a:off x="69608065" y="12548235"/>
          <a:ext cx="304800" cy="297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113853</xdr:rowOff>
    </xdr:to>
    <xdr:sp>
      <xdr:nvSpPr>
        <xdr:cNvPr id="8375" name="rect"/>
        <xdr:cNvSpPr/>
      </xdr:nvSpPr>
      <xdr:spPr>
        <a:xfrm>
          <a:off x="32392620" y="12548235"/>
          <a:ext cx="304800" cy="297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139154</xdr:rowOff>
    </xdr:to>
    <xdr:sp>
      <xdr:nvSpPr>
        <xdr:cNvPr id="8425" name="rect"/>
        <xdr:cNvSpPr/>
      </xdr:nvSpPr>
      <xdr:spPr>
        <a:xfrm>
          <a:off x="69608065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139154</xdr:rowOff>
    </xdr:to>
    <xdr:sp>
      <xdr:nvSpPr>
        <xdr:cNvPr id="8426" name="rect"/>
        <xdr:cNvSpPr/>
      </xdr:nvSpPr>
      <xdr:spPr>
        <a:xfrm>
          <a:off x="32392620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101203</xdr:rowOff>
    </xdr:to>
    <xdr:sp>
      <xdr:nvSpPr>
        <xdr:cNvPr id="8431" name="rect"/>
        <xdr:cNvSpPr/>
      </xdr:nvSpPr>
      <xdr:spPr>
        <a:xfrm>
          <a:off x="6960806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101203</xdr:rowOff>
    </xdr:to>
    <xdr:sp>
      <xdr:nvSpPr>
        <xdr:cNvPr id="8432" name="rect"/>
        <xdr:cNvSpPr/>
      </xdr:nvSpPr>
      <xdr:spPr>
        <a:xfrm>
          <a:off x="32392620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88552</xdr:rowOff>
    </xdr:to>
    <xdr:sp>
      <xdr:nvSpPr>
        <xdr:cNvPr id="8455" name="rect"/>
        <xdr:cNvSpPr/>
      </xdr:nvSpPr>
      <xdr:spPr>
        <a:xfrm>
          <a:off x="7145464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101203</xdr:rowOff>
    </xdr:to>
    <xdr:sp>
      <xdr:nvSpPr>
        <xdr:cNvPr id="8481" name="rect"/>
        <xdr:cNvSpPr/>
      </xdr:nvSpPr>
      <xdr:spPr>
        <a:xfrm>
          <a:off x="7145464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75902</xdr:rowOff>
    </xdr:to>
    <xdr:sp>
      <xdr:nvSpPr>
        <xdr:cNvPr id="8482" name="rect"/>
        <xdr:cNvSpPr/>
      </xdr:nvSpPr>
      <xdr:spPr>
        <a:xfrm>
          <a:off x="71454645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35</xdr:col>
      <xdr:colOff>16876</xdr:colOff>
      <xdr:row>60</xdr:row>
      <xdr:rowOff>290959</xdr:rowOff>
    </xdr:to>
    <xdr:sp>
      <xdr:nvSpPr>
        <xdr:cNvPr id="8485" name="rect"/>
        <xdr:cNvSpPr/>
      </xdr:nvSpPr>
      <xdr:spPr>
        <a:xfrm>
          <a:off x="32392620" y="12548235"/>
          <a:ext cx="70548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35</xdr:col>
      <xdr:colOff>16876</xdr:colOff>
      <xdr:row>60</xdr:row>
      <xdr:rowOff>297284</xdr:rowOff>
    </xdr:to>
    <xdr:sp>
      <xdr:nvSpPr>
        <xdr:cNvPr id="8486" name="rect"/>
        <xdr:cNvSpPr/>
      </xdr:nvSpPr>
      <xdr:spPr>
        <a:xfrm>
          <a:off x="32392620" y="12548235"/>
          <a:ext cx="70548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33</xdr:col>
      <xdr:colOff>513907</xdr:colOff>
      <xdr:row>60</xdr:row>
      <xdr:rowOff>88552</xdr:rowOff>
    </xdr:to>
    <xdr:sp>
      <xdr:nvSpPr>
        <xdr:cNvPr id="8495" name="rect"/>
        <xdr:cNvSpPr/>
      </xdr:nvSpPr>
      <xdr:spPr>
        <a:xfrm>
          <a:off x="3181413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5</xdr:col>
      <xdr:colOff>628650</xdr:colOff>
      <xdr:row>60</xdr:row>
      <xdr:rowOff>151804</xdr:rowOff>
    </xdr:to>
    <xdr:sp>
      <xdr:nvSpPr>
        <xdr:cNvPr id="8496" name="rect"/>
        <xdr:cNvSpPr/>
      </xdr:nvSpPr>
      <xdr:spPr>
        <a:xfrm>
          <a:off x="3171825" y="12548235"/>
          <a:ext cx="4191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5</xdr:col>
      <xdr:colOff>628650</xdr:colOff>
      <xdr:row>60</xdr:row>
      <xdr:rowOff>88552</xdr:rowOff>
    </xdr:to>
    <xdr:sp>
      <xdr:nvSpPr>
        <xdr:cNvPr id="8497" name="rect"/>
        <xdr:cNvSpPr/>
      </xdr:nvSpPr>
      <xdr:spPr>
        <a:xfrm>
          <a:off x="3171825" y="12548235"/>
          <a:ext cx="4191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34</xdr:col>
      <xdr:colOff>17720</xdr:colOff>
      <xdr:row>60</xdr:row>
      <xdr:rowOff>290959</xdr:rowOff>
    </xdr:to>
    <xdr:sp>
      <xdr:nvSpPr>
        <xdr:cNvPr id="8524" name="rect"/>
        <xdr:cNvSpPr/>
      </xdr:nvSpPr>
      <xdr:spPr>
        <a:xfrm>
          <a:off x="31814135" y="12548235"/>
          <a:ext cx="38671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34</xdr:col>
      <xdr:colOff>17720</xdr:colOff>
      <xdr:row>60</xdr:row>
      <xdr:rowOff>297284</xdr:rowOff>
    </xdr:to>
    <xdr:sp>
      <xdr:nvSpPr>
        <xdr:cNvPr id="8525" name="rect"/>
        <xdr:cNvSpPr/>
      </xdr:nvSpPr>
      <xdr:spPr>
        <a:xfrm>
          <a:off x="31814135" y="12548235"/>
          <a:ext cx="38671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88552</xdr:rowOff>
    </xdr:to>
    <xdr:sp>
      <xdr:nvSpPr>
        <xdr:cNvPr id="8572" name="rect"/>
        <xdr:cNvSpPr/>
      </xdr:nvSpPr>
      <xdr:spPr>
        <a:xfrm>
          <a:off x="33289875" y="12548235"/>
          <a:ext cx="304165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36</xdr:col>
      <xdr:colOff>17464</xdr:colOff>
      <xdr:row>60</xdr:row>
      <xdr:rowOff>290959</xdr:rowOff>
    </xdr:to>
    <xdr:sp>
      <xdr:nvSpPr>
        <xdr:cNvPr id="8590" name="rect"/>
        <xdr:cNvSpPr/>
      </xdr:nvSpPr>
      <xdr:spPr>
        <a:xfrm>
          <a:off x="33289875" y="12548235"/>
          <a:ext cx="214376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36</xdr:col>
      <xdr:colOff>17464</xdr:colOff>
      <xdr:row>60</xdr:row>
      <xdr:rowOff>297284</xdr:rowOff>
    </xdr:to>
    <xdr:sp>
      <xdr:nvSpPr>
        <xdr:cNvPr id="8591" name="rect"/>
        <xdr:cNvSpPr/>
      </xdr:nvSpPr>
      <xdr:spPr>
        <a:xfrm>
          <a:off x="33289875" y="12548235"/>
          <a:ext cx="214376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151804</xdr:rowOff>
    </xdr:to>
    <xdr:sp>
      <xdr:nvSpPr>
        <xdr:cNvPr id="8604" name="rect"/>
        <xdr:cNvSpPr/>
      </xdr:nvSpPr>
      <xdr:spPr>
        <a:xfrm>
          <a:off x="69608065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151804</xdr:rowOff>
    </xdr:to>
    <xdr:sp>
      <xdr:nvSpPr>
        <xdr:cNvPr id="8653" name="rect"/>
        <xdr:cNvSpPr/>
      </xdr:nvSpPr>
      <xdr:spPr>
        <a:xfrm>
          <a:off x="6483350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88552</xdr:rowOff>
    </xdr:to>
    <xdr:sp>
      <xdr:nvSpPr>
        <xdr:cNvPr id="8654" name="rect"/>
        <xdr:cNvSpPr/>
      </xdr:nvSpPr>
      <xdr:spPr>
        <a:xfrm>
          <a:off x="6483350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139154</xdr:rowOff>
    </xdr:to>
    <xdr:sp>
      <xdr:nvSpPr>
        <xdr:cNvPr id="8664" name="rect"/>
        <xdr:cNvSpPr/>
      </xdr:nvSpPr>
      <xdr:spPr>
        <a:xfrm>
          <a:off x="6483350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59</xdr:row>
      <xdr:rowOff>189904</xdr:rowOff>
    </xdr:to>
    <xdr:sp>
      <xdr:nvSpPr>
        <xdr:cNvPr id="8702" name="rect"/>
        <xdr:cNvSpPr/>
      </xdr:nvSpPr>
      <xdr:spPr>
        <a:xfrm>
          <a:off x="6960806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59</xdr:row>
      <xdr:rowOff>189904</xdr:rowOff>
    </xdr:to>
    <xdr:sp>
      <xdr:nvSpPr>
        <xdr:cNvPr id="8703" name="rect"/>
        <xdr:cNvSpPr/>
      </xdr:nvSpPr>
      <xdr:spPr>
        <a:xfrm>
          <a:off x="32392620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59</xdr:row>
      <xdr:rowOff>189904</xdr:rowOff>
    </xdr:to>
    <xdr:sp>
      <xdr:nvSpPr>
        <xdr:cNvPr id="8704" name="rect"/>
        <xdr:cNvSpPr/>
      </xdr:nvSpPr>
      <xdr:spPr>
        <a:xfrm>
          <a:off x="400875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59</xdr:row>
      <xdr:rowOff>177626</xdr:rowOff>
    </xdr:to>
    <xdr:sp>
      <xdr:nvSpPr>
        <xdr:cNvPr id="8731" name="rect"/>
        <xdr:cNvSpPr/>
      </xdr:nvSpPr>
      <xdr:spPr>
        <a:xfrm>
          <a:off x="69608065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59</xdr:row>
      <xdr:rowOff>177626</xdr:rowOff>
    </xdr:to>
    <xdr:sp>
      <xdr:nvSpPr>
        <xdr:cNvPr id="8732" name="rect"/>
        <xdr:cNvSpPr/>
      </xdr:nvSpPr>
      <xdr:spPr>
        <a:xfrm>
          <a:off x="32392620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59</xdr:row>
      <xdr:rowOff>177626</xdr:rowOff>
    </xdr:to>
    <xdr:sp>
      <xdr:nvSpPr>
        <xdr:cNvPr id="8733" name="rect"/>
        <xdr:cNvSpPr/>
      </xdr:nvSpPr>
      <xdr:spPr>
        <a:xfrm>
          <a:off x="4008755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126503</xdr:rowOff>
    </xdr:to>
    <xdr:sp>
      <xdr:nvSpPr>
        <xdr:cNvPr id="8746" name="rect"/>
        <xdr:cNvSpPr/>
      </xdr:nvSpPr>
      <xdr:spPr>
        <a:xfrm>
          <a:off x="69608065" y="125482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126503</xdr:rowOff>
    </xdr:to>
    <xdr:sp>
      <xdr:nvSpPr>
        <xdr:cNvPr id="8747" name="rect"/>
        <xdr:cNvSpPr/>
      </xdr:nvSpPr>
      <xdr:spPr>
        <a:xfrm>
          <a:off x="32392620" y="125482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12278</xdr:rowOff>
    </xdr:to>
    <xdr:sp>
      <xdr:nvSpPr>
        <xdr:cNvPr id="8748" name="rect"/>
        <xdr:cNvSpPr/>
      </xdr:nvSpPr>
      <xdr:spPr>
        <a:xfrm>
          <a:off x="69608065" y="12548235"/>
          <a:ext cx="304800" cy="380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12278</xdr:rowOff>
    </xdr:to>
    <xdr:sp>
      <xdr:nvSpPr>
        <xdr:cNvPr id="8749" name="rect"/>
        <xdr:cNvSpPr/>
      </xdr:nvSpPr>
      <xdr:spPr>
        <a:xfrm>
          <a:off x="32392620" y="12548235"/>
          <a:ext cx="304800" cy="380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61</xdr:row>
      <xdr:rowOff>37653</xdr:rowOff>
    </xdr:to>
    <xdr:sp>
      <xdr:nvSpPr>
        <xdr:cNvPr id="8750" name="rect"/>
        <xdr:cNvSpPr/>
      </xdr:nvSpPr>
      <xdr:spPr>
        <a:xfrm>
          <a:off x="4008755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37653</xdr:rowOff>
    </xdr:to>
    <xdr:sp>
      <xdr:nvSpPr>
        <xdr:cNvPr id="8751" name="rect"/>
        <xdr:cNvSpPr/>
      </xdr:nvSpPr>
      <xdr:spPr>
        <a:xfrm>
          <a:off x="69608065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37653</xdr:rowOff>
    </xdr:to>
    <xdr:sp>
      <xdr:nvSpPr>
        <xdr:cNvPr id="8752" name="rect"/>
        <xdr:cNvSpPr/>
      </xdr:nvSpPr>
      <xdr:spPr>
        <a:xfrm>
          <a:off x="32392620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63</xdr:row>
      <xdr:rowOff>12278</xdr:rowOff>
    </xdr:to>
    <xdr:sp>
      <xdr:nvSpPr>
        <xdr:cNvPr id="8762" name="rect"/>
        <xdr:cNvSpPr/>
      </xdr:nvSpPr>
      <xdr:spPr>
        <a:xfrm>
          <a:off x="69608065" y="12548235"/>
          <a:ext cx="304800" cy="1052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63</xdr:row>
      <xdr:rowOff>12278</xdr:rowOff>
    </xdr:to>
    <xdr:sp>
      <xdr:nvSpPr>
        <xdr:cNvPr id="8763" name="rect"/>
        <xdr:cNvSpPr/>
      </xdr:nvSpPr>
      <xdr:spPr>
        <a:xfrm>
          <a:off x="32392620" y="12548235"/>
          <a:ext cx="304800" cy="1052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64</xdr:row>
      <xdr:rowOff>0</xdr:rowOff>
    </xdr:to>
    <xdr:sp>
      <xdr:nvSpPr>
        <xdr:cNvPr id="8764" name="rect"/>
        <xdr:cNvSpPr/>
      </xdr:nvSpPr>
      <xdr:spPr>
        <a:xfrm>
          <a:off x="4008755" y="12548235"/>
          <a:ext cx="304800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63</xdr:row>
      <xdr:rowOff>177626</xdr:rowOff>
    </xdr:to>
    <xdr:sp>
      <xdr:nvSpPr>
        <xdr:cNvPr id="8765" name="rect"/>
        <xdr:cNvSpPr/>
      </xdr:nvSpPr>
      <xdr:spPr>
        <a:xfrm>
          <a:off x="69608065" y="12548235"/>
          <a:ext cx="304800" cy="12179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63</xdr:row>
      <xdr:rowOff>177626</xdr:rowOff>
    </xdr:to>
    <xdr:sp>
      <xdr:nvSpPr>
        <xdr:cNvPr id="8766" name="rect"/>
        <xdr:cNvSpPr/>
      </xdr:nvSpPr>
      <xdr:spPr>
        <a:xfrm>
          <a:off x="32392620" y="12548235"/>
          <a:ext cx="304800" cy="12179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434310</xdr:colOff>
      <xdr:row>59</xdr:row>
      <xdr:rowOff>0</xdr:rowOff>
    </xdr:from>
    <xdr:to>
      <xdr:col>8</xdr:col>
      <xdr:colOff>723013</xdr:colOff>
      <xdr:row>64</xdr:row>
      <xdr:rowOff>0</xdr:rowOff>
    </xdr:to>
    <xdr:sp>
      <xdr:nvSpPr>
        <xdr:cNvPr id="8775" name="rect"/>
        <xdr:cNvSpPr/>
      </xdr:nvSpPr>
      <xdr:spPr>
        <a:xfrm>
          <a:off x="6708775" y="12548235"/>
          <a:ext cx="288925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0</xdr:rowOff>
    </xdr:to>
    <xdr:sp>
      <xdr:nvSpPr>
        <xdr:cNvPr id="8830" name="rect"/>
        <xdr:cNvSpPr/>
      </xdr:nvSpPr>
      <xdr:spPr>
        <a:xfrm>
          <a:off x="6960806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0</xdr:rowOff>
    </xdr:to>
    <xdr:sp>
      <xdr:nvSpPr>
        <xdr:cNvPr id="8831" name="rect"/>
        <xdr:cNvSpPr/>
      </xdr:nvSpPr>
      <xdr:spPr>
        <a:xfrm>
          <a:off x="32392620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101203</xdr:rowOff>
    </xdr:to>
    <xdr:sp>
      <xdr:nvSpPr>
        <xdr:cNvPr id="8832" name="rect"/>
        <xdr:cNvSpPr/>
      </xdr:nvSpPr>
      <xdr:spPr>
        <a:xfrm>
          <a:off x="400875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63251</xdr:rowOff>
    </xdr:to>
    <xdr:sp>
      <xdr:nvSpPr>
        <xdr:cNvPr id="8833" name="rect"/>
        <xdr:cNvSpPr/>
      </xdr:nvSpPr>
      <xdr:spPr>
        <a:xfrm>
          <a:off x="69608065" y="125482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63251</xdr:rowOff>
    </xdr:to>
    <xdr:sp>
      <xdr:nvSpPr>
        <xdr:cNvPr id="8834" name="rect"/>
        <xdr:cNvSpPr/>
      </xdr:nvSpPr>
      <xdr:spPr>
        <a:xfrm>
          <a:off x="32392620" y="125482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50601</xdr:rowOff>
    </xdr:to>
    <xdr:sp>
      <xdr:nvSpPr>
        <xdr:cNvPr id="8850" name="rect"/>
        <xdr:cNvSpPr/>
      </xdr:nvSpPr>
      <xdr:spPr>
        <a:xfrm>
          <a:off x="4008755" y="12548235"/>
          <a:ext cx="304800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63028</xdr:rowOff>
    </xdr:to>
    <xdr:sp>
      <xdr:nvSpPr>
        <xdr:cNvPr id="8874" name="rect"/>
        <xdr:cNvSpPr/>
      </xdr:nvSpPr>
      <xdr:spPr>
        <a:xfrm>
          <a:off x="69608065" y="12548235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63028</xdr:rowOff>
    </xdr:to>
    <xdr:sp>
      <xdr:nvSpPr>
        <xdr:cNvPr id="8875" name="rect"/>
        <xdr:cNvSpPr/>
      </xdr:nvSpPr>
      <xdr:spPr>
        <a:xfrm>
          <a:off x="32392620" y="12548235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25375</xdr:rowOff>
    </xdr:to>
    <xdr:sp>
      <xdr:nvSpPr>
        <xdr:cNvPr id="8876" name="rect"/>
        <xdr:cNvSpPr/>
      </xdr:nvSpPr>
      <xdr:spPr>
        <a:xfrm>
          <a:off x="69608065" y="12548235"/>
          <a:ext cx="304800" cy="393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25375</xdr:rowOff>
    </xdr:to>
    <xdr:sp>
      <xdr:nvSpPr>
        <xdr:cNvPr id="8877" name="rect"/>
        <xdr:cNvSpPr/>
      </xdr:nvSpPr>
      <xdr:spPr>
        <a:xfrm>
          <a:off x="32392620" y="12548235"/>
          <a:ext cx="304800" cy="393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61</xdr:row>
      <xdr:rowOff>101500</xdr:rowOff>
    </xdr:to>
    <xdr:sp>
      <xdr:nvSpPr>
        <xdr:cNvPr id="8880" name="rect"/>
        <xdr:cNvSpPr/>
      </xdr:nvSpPr>
      <xdr:spPr>
        <a:xfrm>
          <a:off x="4008755" y="12548235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59</xdr:row>
      <xdr:rowOff>189904</xdr:rowOff>
    </xdr:to>
    <xdr:sp>
      <xdr:nvSpPr>
        <xdr:cNvPr id="8887" name="rect"/>
        <xdr:cNvSpPr/>
      </xdr:nvSpPr>
      <xdr:spPr>
        <a:xfrm>
          <a:off x="7145464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33</xdr:col>
      <xdr:colOff>513907</xdr:colOff>
      <xdr:row>59</xdr:row>
      <xdr:rowOff>189904</xdr:rowOff>
    </xdr:to>
    <xdr:sp>
      <xdr:nvSpPr>
        <xdr:cNvPr id="8927" name="rect"/>
        <xdr:cNvSpPr/>
      </xdr:nvSpPr>
      <xdr:spPr>
        <a:xfrm>
          <a:off x="3181413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6</xdr:col>
      <xdr:colOff>17876</xdr:colOff>
      <xdr:row>59</xdr:row>
      <xdr:rowOff>189904</xdr:rowOff>
    </xdr:to>
    <xdr:sp>
      <xdr:nvSpPr>
        <xdr:cNvPr id="8928" name="rect"/>
        <xdr:cNvSpPr/>
      </xdr:nvSpPr>
      <xdr:spPr>
        <a:xfrm>
          <a:off x="3171825" y="12548235"/>
          <a:ext cx="64643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59</xdr:row>
      <xdr:rowOff>189904</xdr:rowOff>
    </xdr:to>
    <xdr:sp>
      <xdr:nvSpPr>
        <xdr:cNvPr id="9004" name="rect"/>
        <xdr:cNvSpPr/>
      </xdr:nvSpPr>
      <xdr:spPr>
        <a:xfrm>
          <a:off x="33289875" y="12548235"/>
          <a:ext cx="30416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64</xdr:row>
      <xdr:rowOff>0</xdr:rowOff>
    </xdr:to>
    <xdr:sp>
      <xdr:nvSpPr>
        <xdr:cNvPr id="9056" name="rect"/>
        <xdr:cNvSpPr/>
      </xdr:nvSpPr>
      <xdr:spPr>
        <a:xfrm>
          <a:off x="69608065" y="12548235"/>
          <a:ext cx="304800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50601</xdr:rowOff>
    </xdr:to>
    <xdr:sp>
      <xdr:nvSpPr>
        <xdr:cNvPr id="9079" name="rect"/>
        <xdr:cNvSpPr/>
      </xdr:nvSpPr>
      <xdr:spPr>
        <a:xfrm>
          <a:off x="69608065" y="12548235"/>
          <a:ext cx="304800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101500</xdr:rowOff>
    </xdr:to>
    <xdr:sp>
      <xdr:nvSpPr>
        <xdr:cNvPr id="9085" name="rect"/>
        <xdr:cNvSpPr/>
      </xdr:nvSpPr>
      <xdr:spPr>
        <a:xfrm>
          <a:off x="69608065" y="12548235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88403</xdr:rowOff>
    </xdr:to>
    <xdr:sp>
      <xdr:nvSpPr>
        <xdr:cNvPr id="9372" name="rect"/>
        <xdr:cNvSpPr/>
      </xdr:nvSpPr>
      <xdr:spPr>
        <a:xfrm>
          <a:off x="33289875" y="12292965"/>
          <a:ext cx="304165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80962</xdr:rowOff>
    </xdr:to>
    <xdr:sp>
      <xdr:nvSpPr>
        <xdr:cNvPr id="9380" name="rect"/>
        <xdr:cNvSpPr/>
      </xdr:nvSpPr>
      <xdr:spPr>
        <a:xfrm>
          <a:off x="33289875" y="12292965"/>
          <a:ext cx="2143760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88552</xdr:rowOff>
    </xdr:to>
    <xdr:sp>
      <xdr:nvSpPr>
        <xdr:cNvPr id="9381" name="rect"/>
        <xdr:cNvSpPr/>
      </xdr:nvSpPr>
      <xdr:spPr>
        <a:xfrm>
          <a:off x="33289875" y="12292965"/>
          <a:ext cx="2143760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87287</xdr:rowOff>
    </xdr:to>
    <xdr:sp>
      <xdr:nvSpPr>
        <xdr:cNvPr id="9383" name="rect"/>
        <xdr:cNvSpPr/>
      </xdr:nvSpPr>
      <xdr:spPr>
        <a:xfrm>
          <a:off x="33289875" y="12292965"/>
          <a:ext cx="2143760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63028</xdr:rowOff>
    </xdr:to>
    <xdr:sp>
      <xdr:nvSpPr>
        <xdr:cNvPr id="9389" name="rect"/>
        <xdr:cNvSpPr/>
      </xdr:nvSpPr>
      <xdr:spPr>
        <a:xfrm>
          <a:off x="6960806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63028</xdr:rowOff>
    </xdr:to>
    <xdr:sp>
      <xdr:nvSpPr>
        <xdr:cNvPr id="9390" name="rect"/>
        <xdr:cNvSpPr/>
      </xdr:nvSpPr>
      <xdr:spPr>
        <a:xfrm>
          <a:off x="32392620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126875</xdr:rowOff>
    </xdr:to>
    <xdr:sp>
      <xdr:nvSpPr>
        <xdr:cNvPr id="9391" name="rect"/>
        <xdr:cNvSpPr/>
      </xdr:nvSpPr>
      <xdr:spPr>
        <a:xfrm>
          <a:off x="4008755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76125</xdr:rowOff>
    </xdr:to>
    <xdr:sp>
      <xdr:nvSpPr>
        <xdr:cNvPr id="9392" name="rect"/>
        <xdr:cNvSpPr/>
      </xdr:nvSpPr>
      <xdr:spPr>
        <a:xfrm>
          <a:off x="400875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76125</xdr:rowOff>
    </xdr:to>
    <xdr:sp>
      <xdr:nvSpPr>
        <xdr:cNvPr id="9393" name="rect"/>
        <xdr:cNvSpPr/>
      </xdr:nvSpPr>
      <xdr:spPr>
        <a:xfrm>
          <a:off x="6960806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76125</xdr:rowOff>
    </xdr:to>
    <xdr:sp>
      <xdr:nvSpPr>
        <xdr:cNvPr id="9394" name="rect"/>
        <xdr:cNvSpPr/>
      </xdr:nvSpPr>
      <xdr:spPr>
        <a:xfrm>
          <a:off x="32392620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88403</xdr:rowOff>
    </xdr:to>
    <xdr:sp>
      <xdr:nvSpPr>
        <xdr:cNvPr id="9436" name="rect"/>
        <xdr:cNvSpPr/>
      </xdr:nvSpPr>
      <xdr:spPr>
        <a:xfrm>
          <a:off x="69608065" y="12292965"/>
          <a:ext cx="304800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88403</xdr:rowOff>
    </xdr:to>
    <xdr:sp>
      <xdr:nvSpPr>
        <xdr:cNvPr id="9437" name="rect"/>
        <xdr:cNvSpPr/>
      </xdr:nvSpPr>
      <xdr:spPr>
        <a:xfrm>
          <a:off x="32392620" y="12292965"/>
          <a:ext cx="304800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126875</xdr:rowOff>
    </xdr:to>
    <xdr:sp>
      <xdr:nvSpPr>
        <xdr:cNvPr id="9487" name="rect"/>
        <xdr:cNvSpPr/>
      </xdr:nvSpPr>
      <xdr:spPr>
        <a:xfrm>
          <a:off x="69608065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126875</xdr:rowOff>
    </xdr:to>
    <xdr:sp>
      <xdr:nvSpPr>
        <xdr:cNvPr id="9488" name="rect"/>
        <xdr:cNvSpPr/>
      </xdr:nvSpPr>
      <xdr:spPr>
        <a:xfrm>
          <a:off x="32392620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113779</xdr:rowOff>
    </xdr:to>
    <xdr:sp>
      <xdr:nvSpPr>
        <xdr:cNvPr id="9499" name="rect"/>
        <xdr:cNvSpPr/>
      </xdr:nvSpPr>
      <xdr:spPr>
        <a:xfrm>
          <a:off x="4008755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58</xdr:row>
      <xdr:rowOff>0</xdr:rowOff>
    </xdr:from>
    <xdr:to>
      <xdr:col>62</xdr:col>
      <xdr:colOff>514012</xdr:colOff>
      <xdr:row>59</xdr:row>
      <xdr:rowOff>63028</xdr:rowOff>
    </xdr:to>
    <xdr:sp>
      <xdr:nvSpPr>
        <xdr:cNvPr id="9517" name="rect"/>
        <xdr:cNvSpPr/>
      </xdr:nvSpPr>
      <xdr:spPr>
        <a:xfrm>
          <a:off x="7145464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58</xdr:row>
      <xdr:rowOff>0</xdr:rowOff>
    </xdr:from>
    <xdr:to>
      <xdr:col>62</xdr:col>
      <xdr:colOff>514012</xdr:colOff>
      <xdr:row>59</xdr:row>
      <xdr:rowOff>76125</xdr:rowOff>
    </xdr:to>
    <xdr:sp>
      <xdr:nvSpPr>
        <xdr:cNvPr id="9521" name="rect"/>
        <xdr:cNvSpPr/>
      </xdr:nvSpPr>
      <xdr:spPr>
        <a:xfrm>
          <a:off x="7145464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80962</xdr:rowOff>
    </xdr:to>
    <xdr:sp>
      <xdr:nvSpPr>
        <xdr:cNvPr id="9547" name="rect"/>
        <xdr:cNvSpPr/>
      </xdr:nvSpPr>
      <xdr:spPr>
        <a:xfrm>
          <a:off x="32392620" y="12292965"/>
          <a:ext cx="705485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88552</xdr:rowOff>
    </xdr:to>
    <xdr:sp>
      <xdr:nvSpPr>
        <xdr:cNvPr id="9548" name="rect"/>
        <xdr:cNvSpPr/>
      </xdr:nvSpPr>
      <xdr:spPr>
        <a:xfrm>
          <a:off x="32392620" y="12292965"/>
          <a:ext cx="705485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87287</xdr:rowOff>
    </xdr:to>
    <xdr:sp>
      <xdr:nvSpPr>
        <xdr:cNvPr id="9550" name="rect"/>
        <xdr:cNvSpPr/>
      </xdr:nvSpPr>
      <xdr:spPr>
        <a:xfrm>
          <a:off x="32392620" y="12292965"/>
          <a:ext cx="705485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33</xdr:col>
      <xdr:colOff>513907</xdr:colOff>
      <xdr:row>59</xdr:row>
      <xdr:rowOff>63028</xdr:rowOff>
    </xdr:to>
    <xdr:sp>
      <xdr:nvSpPr>
        <xdr:cNvPr id="9557" name="rect"/>
        <xdr:cNvSpPr/>
      </xdr:nvSpPr>
      <xdr:spPr>
        <a:xfrm>
          <a:off x="3181413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6</xdr:col>
      <xdr:colOff>0</xdr:colOff>
      <xdr:row>59</xdr:row>
      <xdr:rowOff>126875</xdr:rowOff>
    </xdr:to>
    <xdr:sp>
      <xdr:nvSpPr>
        <xdr:cNvPr id="9558" name="rect"/>
        <xdr:cNvSpPr/>
      </xdr:nvSpPr>
      <xdr:spPr>
        <a:xfrm>
          <a:off x="3171825" y="12292965"/>
          <a:ext cx="62865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6</xdr:col>
      <xdr:colOff>0</xdr:colOff>
      <xdr:row>59</xdr:row>
      <xdr:rowOff>76125</xdr:rowOff>
    </xdr:to>
    <xdr:sp>
      <xdr:nvSpPr>
        <xdr:cNvPr id="9559" name="rect"/>
        <xdr:cNvSpPr/>
      </xdr:nvSpPr>
      <xdr:spPr>
        <a:xfrm>
          <a:off x="3171825" y="12292965"/>
          <a:ext cx="62865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33</xdr:col>
      <xdr:colOff>513907</xdr:colOff>
      <xdr:row>59</xdr:row>
      <xdr:rowOff>76125</xdr:rowOff>
    </xdr:to>
    <xdr:sp>
      <xdr:nvSpPr>
        <xdr:cNvPr id="9561" name="rect"/>
        <xdr:cNvSpPr/>
      </xdr:nvSpPr>
      <xdr:spPr>
        <a:xfrm>
          <a:off x="3181413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80962</xdr:rowOff>
    </xdr:to>
    <xdr:sp>
      <xdr:nvSpPr>
        <xdr:cNvPr id="9586" name="rect"/>
        <xdr:cNvSpPr/>
      </xdr:nvSpPr>
      <xdr:spPr>
        <a:xfrm>
          <a:off x="31814135" y="12292965"/>
          <a:ext cx="386715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88552</xdr:rowOff>
    </xdr:to>
    <xdr:sp>
      <xdr:nvSpPr>
        <xdr:cNvPr id="9587" name="rect"/>
        <xdr:cNvSpPr/>
      </xdr:nvSpPr>
      <xdr:spPr>
        <a:xfrm>
          <a:off x="31814135" y="12292965"/>
          <a:ext cx="386715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87287</xdr:rowOff>
    </xdr:to>
    <xdr:sp>
      <xdr:nvSpPr>
        <xdr:cNvPr id="9589" name="rect"/>
        <xdr:cNvSpPr/>
      </xdr:nvSpPr>
      <xdr:spPr>
        <a:xfrm>
          <a:off x="31814135" y="12292965"/>
          <a:ext cx="386715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63028</xdr:rowOff>
    </xdr:to>
    <xdr:sp>
      <xdr:nvSpPr>
        <xdr:cNvPr id="9634" name="rect"/>
        <xdr:cNvSpPr/>
      </xdr:nvSpPr>
      <xdr:spPr>
        <a:xfrm>
          <a:off x="33289875" y="12292965"/>
          <a:ext cx="304165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76125</xdr:rowOff>
    </xdr:to>
    <xdr:sp>
      <xdr:nvSpPr>
        <xdr:cNvPr id="9637" name="rect"/>
        <xdr:cNvSpPr/>
      </xdr:nvSpPr>
      <xdr:spPr>
        <a:xfrm>
          <a:off x="33289875" y="12292965"/>
          <a:ext cx="304165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113779</xdr:rowOff>
    </xdr:to>
    <xdr:sp>
      <xdr:nvSpPr>
        <xdr:cNvPr id="9698" name="rect"/>
        <xdr:cNvSpPr/>
      </xdr:nvSpPr>
      <xdr:spPr>
        <a:xfrm>
          <a:off x="69608065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126875</xdr:rowOff>
    </xdr:to>
    <xdr:sp>
      <xdr:nvSpPr>
        <xdr:cNvPr id="9715" name="rect"/>
        <xdr:cNvSpPr/>
      </xdr:nvSpPr>
      <xdr:spPr>
        <a:xfrm>
          <a:off x="6483350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76125</xdr:rowOff>
    </xdr:to>
    <xdr:sp>
      <xdr:nvSpPr>
        <xdr:cNvPr id="9716" name="rect"/>
        <xdr:cNvSpPr/>
      </xdr:nvSpPr>
      <xdr:spPr>
        <a:xfrm>
          <a:off x="6483350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113779</xdr:rowOff>
    </xdr:to>
    <xdr:sp>
      <xdr:nvSpPr>
        <xdr:cNvPr id="9747" name="rect"/>
        <xdr:cNvSpPr/>
      </xdr:nvSpPr>
      <xdr:spPr>
        <a:xfrm>
          <a:off x="6483350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63251</xdr:rowOff>
    </xdr:to>
    <xdr:sp>
      <xdr:nvSpPr>
        <xdr:cNvPr id="9781" name="rect"/>
        <xdr:cNvSpPr/>
      </xdr:nvSpPr>
      <xdr:spPr>
        <a:xfrm>
          <a:off x="33289875" y="12548235"/>
          <a:ext cx="304165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75902</xdr:rowOff>
    </xdr:to>
    <xdr:sp>
      <xdr:nvSpPr>
        <xdr:cNvPr id="9782" name="rect"/>
        <xdr:cNvSpPr/>
      </xdr:nvSpPr>
      <xdr:spPr>
        <a:xfrm>
          <a:off x="33289875" y="12548235"/>
          <a:ext cx="30416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5</xdr:col>
      <xdr:colOff>628650</xdr:colOff>
      <xdr:row>59</xdr:row>
      <xdr:rowOff>126875</xdr:rowOff>
    </xdr:to>
    <xdr:sp>
      <xdr:nvSpPr>
        <xdr:cNvPr id="9984" name="rect"/>
        <xdr:cNvSpPr/>
      </xdr:nvSpPr>
      <xdr:spPr>
        <a:xfrm>
          <a:off x="3171825" y="12292965"/>
          <a:ext cx="4191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5</xdr:col>
      <xdr:colOff>628650</xdr:colOff>
      <xdr:row>59</xdr:row>
      <xdr:rowOff>76125</xdr:rowOff>
    </xdr:to>
    <xdr:sp>
      <xdr:nvSpPr>
        <xdr:cNvPr id="9985" name="rect"/>
        <xdr:cNvSpPr/>
      </xdr:nvSpPr>
      <xdr:spPr>
        <a:xfrm>
          <a:off x="3171825" y="12292965"/>
          <a:ext cx="4191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8" Type="http://schemas.openxmlformats.org/officeDocument/2006/relationships/hyperlink" Target="mailto:zackyrafa@gmail.com" TargetMode="External"/><Relationship Id="rId97" Type="http://schemas.openxmlformats.org/officeDocument/2006/relationships/hyperlink" Target="mailto:Hadiprabowo109@gmail.com" TargetMode="External"/><Relationship Id="rId96" Type="http://schemas.openxmlformats.org/officeDocument/2006/relationships/hyperlink" Target="mailto:yuliasuwarliani@gmail.com" TargetMode="External"/><Relationship Id="rId95" Type="http://schemas.openxmlformats.org/officeDocument/2006/relationships/hyperlink" Target="mailto:bambangwidiyatno46@gmail.com" TargetMode="External"/><Relationship Id="rId94" Type="http://schemas.openxmlformats.org/officeDocument/2006/relationships/hyperlink" Target="mailto:siswantobudi00@gmail.com" TargetMode="External"/><Relationship Id="rId93" Type="http://schemas.openxmlformats.org/officeDocument/2006/relationships/hyperlink" Target="mailto:fhinaunyugalawslalu@yahoo.com" TargetMode="External"/><Relationship Id="rId92" Type="http://schemas.openxmlformats.org/officeDocument/2006/relationships/hyperlink" Target="mailto:nawanisakiki@com" TargetMode="External"/><Relationship Id="rId91" Type="http://schemas.openxmlformats.org/officeDocument/2006/relationships/hyperlink" Target="mailto:glawyou_1000@yahoo.com" TargetMode="External"/><Relationship Id="rId90" Type="http://schemas.openxmlformats.org/officeDocument/2006/relationships/hyperlink" Target="mailto:chiaabdul1979@gmail.com" TargetMode="External"/><Relationship Id="rId9" Type="http://schemas.openxmlformats.org/officeDocument/2006/relationships/hyperlink" Target="mailto:Syamsuddin_ardin@yahoo.com" TargetMode="External"/><Relationship Id="rId89" Type="http://schemas.openxmlformats.org/officeDocument/2006/relationships/hyperlink" Target="mailto:kendedes0707@gmail.com" TargetMode="External"/><Relationship Id="rId88" Type="http://schemas.openxmlformats.org/officeDocument/2006/relationships/hyperlink" Target="mailto:mr.voetra@gmail.com" TargetMode="External"/><Relationship Id="rId87" Type="http://schemas.openxmlformats.org/officeDocument/2006/relationships/hyperlink" Target="mailto:evialisandi@gmail.com" TargetMode="External"/><Relationship Id="rId86" Type="http://schemas.openxmlformats.org/officeDocument/2006/relationships/hyperlink" Target="mailto:f4lm4_koetai@ymail.com" TargetMode="External"/><Relationship Id="rId85" Type="http://schemas.openxmlformats.org/officeDocument/2006/relationships/hyperlink" Target="mailto:mariarantepakku@gmail.com" TargetMode="External"/><Relationship Id="rId84" Type="http://schemas.openxmlformats.org/officeDocument/2006/relationships/hyperlink" Target="mailto:zubair.sman14@gmail.com" TargetMode="External"/><Relationship Id="rId83" Type="http://schemas.openxmlformats.org/officeDocument/2006/relationships/hyperlink" Target="mailto:liatajlia@gmail.com" TargetMode="External"/><Relationship Id="rId82" Type="http://schemas.openxmlformats.org/officeDocument/2006/relationships/hyperlink" Target="mailto:budiantoalfatih@gmail.com" TargetMode="External"/><Relationship Id="rId81" Type="http://schemas.openxmlformats.org/officeDocument/2006/relationships/hyperlink" Target="mailto:Bahriana28@yahoo.com" TargetMode="External"/><Relationship Id="rId80" Type="http://schemas.openxmlformats.org/officeDocument/2006/relationships/hyperlink" Target="mailto:suhaimi.albuchaerah@gmail.com" TargetMode="External"/><Relationship Id="rId8" Type="http://schemas.openxmlformats.org/officeDocument/2006/relationships/hyperlink" Target="mailto:suparta88.tangru@gmail.com" TargetMode="External"/><Relationship Id="rId79" Type="http://schemas.openxmlformats.org/officeDocument/2006/relationships/hyperlink" Target="mailto:Yohanismp16@gmail.com" TargetMode="External"/><Relationship Id="rId78" Type="http://schemas.openxmlformats.org/officeDocument/2006/relationships/hyperlink" Target="mailto:arfahahmad92@yahoo.co.id" TargetMode="External"/><Relationship Id="rId77" Type="http://schemas.openxmlformats.org/officeDocument/2006/relationships/hyperlink" Target="mailto:wulanchemist047@gmail.com" TargetMode="External"/><Relationship Id="rId76" Type="http://schemas.openxmlformats.org/officeDocument/2006/relationships/hyperlink" Target="mailto:nurhidayana797@gmail.com" TargetMode="External"/><Relationship Id="rId75" Type="http://schemas.openxmlformats.org/officeDocument/2006/relationships/hyperlink" Target="mailto:nelahastina4@gmail.com" TargetMode="External"/><Relationship Id="rId74" Type="http://schemas.openxmlformats.org/officeDocument/2006/relationships/hyperlink" Target="mailto:Aguspurnawan67@yahoo.com" TargetMode="External"/><Relationship Id="rId73" Type="http://schemas.openxmlformats.org/officeDocument/2006/relationships/hyperlink" Target="mailto:dhimaz760@gmail.com" TargetMode="External"/><Relationship Id="rId72" Type="http://schemas.openxmlformats.org/officeDocument/2006/relationships/hyperlink" Target="mailto:intanprihatini681@gmail.com" TargetMode="External"/><Relationship Id="rId71" Type="http://schemas.openxmlformats.org/officeDocument/2006/relationships/hyperlink" Target="mailto:haryonoabdurahman89@gmail.com" TargetMode="External"/><Relationship Id="rId70" Type="http://schemas.openxmlformats.org/officeDocument/2006/relationships/hyperlink" Target="mailto:mariasa.spd@gmail.com" TargetMode="External"/><Relationship Id="rId7" Type="http://schemas.openxmlformats.org/officeDocument/2006/relationships/hyperlink" Target="mailto:nurhalimahSulaiman@gmail.com" TargetMode="External"/><Relationship Id="rId69" Type="http://schemas.openxmlformats.org/officeDocument/2006/relationships/hyperlink" Target="mailto:akhwateuy27@yahoo.co.id" TargetMode="External"/><Relationship Id="rId68" Type="http://schemas.openxmlformats.org/officeDocument/2006/relationships/hyperlink" Target="mailto:muhammadtarif655@gmail.com" TargetMode="External"/><Relationship Id="rId67" Type="http://schemas.openxmlformats.org/officeDocument/2006/relationships/hyperlink" Target="mailto:dianarita717@yahoo.com" TargetMode="External"/><Relationship Id="rId66" Type="http://schemas.openxmlformats.org/officeDocument/2006/relationships/hyperlink" Target="mailto:sarilaila33@gmail.com" TargetMode="External"/><Relationship Id="rId65" Type="http://schemas.openxmlformats.org/officeDocument/2006/relationships/hyperlink" Target="mailto:norhasanah.suryana@yahoo.com" TargetMode="External"/><Relationship Id="rId64" Type="http://schemas.openxmlformats.org/officeDocument/2006/relationships/hyperlink" Target="mailto:martenm@rockelmail.com" TargetMode="External"/><Relationship Id="rId63" Type="http://schemas.openxmlformats.org/officeDocument/2006/relationships/hyperlink" Target="mailto:Efnie.ani@gmail.com@gmail.com" TargetMode="External"/><Relationship Id="rId62" Type="http://schemas.openxmlformats.org/officeDocument/2006/relationships/hyperlink" Target="mailto:Ikaamelia1993@gmail.com" TargetMode="External"/><Relationship Id="rId61" Type="http://schemas.openxmlformats.org/officeDocument/2006/relationships/hyperlink" Target="mailto:Yohaneskarapa4@gmail.com" TargetMode="External"/><Relationship Id="rId60" Type="http://schemas.openxmlformats.org/officeDocument/2006/relationships/hyperlink" Target="mailto:Kurasyihab@.com" TargetMode="External"/><Relationship Id="rId6" Type="http://schemas.openxmlformats.org/officeDocument/2006/relationships/hyperlink" Target="mailto:diahvega81@gmail.com" TargetMode="External"/><Relationship Id="rId59" Type="http://schemas.openxmlformats.org/officeDocument/2006/relationships/hyperlink" Target="mailto:Frifai120@gmail.com" TargetMode="External"/><Relationship Id="rId58" Type="http://schemas.openxmlformats.org/officeDocument/2006/relationships/hyperlink" Target="mailto:Werdhywewen@yahoo.com" TargetMode="External"/><Relationship Id="rId57" Type="http://schemas.openxmlformats.org/officeDocument/2006/relationships/hyperlink" Target="mailto:valentine_risca@yahoo.com" TargetMode="External"/><Relationship Id="rId56" Type="http://schemas.openxmlformats.org/officeDocument/2006/relationships/hyperlink" Target="mailto:matiusrerung6@gmail.com" TargetMode="External"/><Relationship Id="rId55" Type="http://schemas.openxmlformats.org/officeDocument/2006/relationships/hyperlink" Target="mailto:Husnan006sman9@gmail.com" TargetMode="External"/><Relationship Id="rId54" Type="http://schemas.openxmlformats.org/officeDocument/2006/relationships/hyperlink" Target="mailto:dedydelfa@gmail.com" TargetMode="External"/><Relationship Id="rId53" Type="http://schemas.openxmlformats.org/officeDocument/2006/relationships/hyperlink" Target="mailto:Sujatmono.maratua@gmail,com" TargetMode="External"/><Relationship Id="rId52" Type="http://schemas.openxmlformats.org/officeDocument/2006/relationships/hyperlink" Target="mailto:herlinaparrangan@gmail.com" TargetMode="External"/><Relationship Id="rId51" Type="http://schemas.openxmlformats.org/officeDocument/2006/relationships/hyperlink" Target="mailto:liliyanti009@gmail.com" TargetMode="External"/><Relationship Id="rId50" Type="http://schemas.openxmlformats.org/officeDocument/2006/relationships/hyperlink" Target="mailto:Tuminahakuntansi@yahoo.co.id" TargetMode="External"/><Relationship Id="rId5" Type="http://schemas.openxmlformats.org/officeDocument/2006/relationships/hyperlink" Target="mailto:gurubindo9@gmail.com" TargetMode="External"/><Relationship Id="rId49" Type="http://schemas.openxmlformats.org/officeDocument/2006/relationships/hyperlink" Target="mailto:arizona12@yahoo.com" TargetMode="External"/><Relationship Id="rId48" Type="http://schemas.openxmlformats.org/officeDocument/2006/relationships/hyperlink" Target="mailto:noverita.rahmadiani10@gamil.com" TargetMode="External"/><Relationship Id="rId47" Type="http://schemas.openxmlformats.org/officeDocument/2006/relationships/hyperlink" Target="mailto:sitifaujiah.sf@gmail.com" TargetMode="External"/><Relationship Id="rId46" Type="http://schemas.openxmlformats.org/officeDocument/2006/relationships/hyperlink" Target="mailto:ichahairun0119@gmail.com" TargetMode="External"/><Relationship Id="rId45" Type="http://schemas.openxmlformats.org/officeDocument/2006/relationships/hyperlink" Target="mailto:sugiantoaja099@gmail.com" TargetMode="External"/><Relationship Id="rId44" Type="http://schemas.openxmlformats.org/officeDocument/2006/relationships/hyperlink" Target="mailto:hafsahumar01@gmail.com" TargetMode="External"/><Relationship Id="rId43" Type="http://schemas.openxmlformats.org/officeDocument/2006/relationships/hyperlink" Target="mailto:andien628@gmail.com" TargetMode="External"/><Relationship Id="rId42" Type="http://schemas.openxmlformats.org/officeDocument/2006/relationships/hyperlink" Target="mailto:chairani.ihay@gmail.com" TargetMode="External"/><Relationship Id="rId41" Type="http://schemas.openxmlformats.org/officeDocument/2006/relationships/hyperlink" Target="mailto:rumaishamilhan34@gmail.com" TargetMode="External"/><Relationship Id="rId40" Type="http://schemas.openxmlformats.org/officeDocument/2006/relationships/hyperlink" Target="mailto:lianita2887@gmail.com" TargetMode="External"/><Relationship Id="rId4" Type="http://schemas.openxmlformats.org/officeDocument/2006/relationships/hyperlink" Target="mailto:happy.megasari@gmail.com" TargetMode="External"/><Relationship Id="rId39" Type="http://schemas.openxmlformats.org/officeDocument/2006/relationships/hyperlink" Target="mailto:princescha88@gmail.com" TargetMode="External"/><Relationship Id="rId38" Type="http://schemas.openxmlformats.org/officeDocument/2006/relationships/hyperlink" Target="mailto:ropika.syafiq@gmail.com" TargetMode="External"/><Relationship Id="rId37" Type="http://schemas.openxmlformats.org/officeDocument/2006/relationships/hyperlink" Target="mailto:ahyanihandoko1@gmail.com" TargetMode="External"/><Relationship Id="rId36" Type="http://schemas.openxmlformats.org/officeDocument/2006/relationships/hyperlink" Target="mailto:dwizy13@gmail.com" TargetMode="External"/><Relationship Id="rId35" Type="http://schemas.openxmlformats.org/officeDocument/2006/relationships/hyperlink" Target="mailto:setyowahyono82@gmail.com" TargetMode="External"/><Relationship Id="rId34" Type="http://schemas.openxmlformats.org/officeDocument/2006/relationships/hyperlink" Target="mailto:amirsatpam@gmail.com" TargetMode="External"/><Relationship Id="rId33" Type="http://schemas.openxmlformats.org/officeDocument/2006/relationships/hyperlink" Target="mailto:Ellazahratuljannah@yahoo.co.id" TargetMode="External"/><Relationship Id="rId32" Type="http://schemas.openxmlformats.org/officeDocument/2006/relationships/hyperlink" Target="mailto:ayoe.manis79@gmail.com" TargetMode="External"/><Relationship Id="rId31" Type="http://schemas.openxmlformats.org/officeDocument/2006/relationships/hyperlink" Target="mailto:yayan.fikri@yahoo.com" TargetMode="External"/><Relationship Id="rId30" Type="http://schemas.openxmlformats.org/officeDocument/2006/relationships/hyperlink" Target="mailto:meemeyjasmine@yahoo.com" TargetMode="External"/><Relationship Id="rId3" Type="http://schemas.openxmlformats.org/officeDocument/2006/relationships/hyperlink" Target="mailto:heryawand88@gmail.com" TargetMode="External"/><Relationship Id="rId29" Type="http://schemas.openxmlformats.org/officeDocument/2006/relationships/hyperlink" Target="mailto:Munawaralvinaku@gmail.com" TargetMode="External"/><Relationship Id="rId28" Type="http://schemas.openxmlformats.org/officeDocument/2006/relationships/hyperlink" Target="mailto:fenyws@gmail.com" TargetMode="External"/><Relationship Id="rId27" Type="http://schemas.openxmlformats.org/officeDocument/2006/relationships/hyperlink" Target="mailto:uum2509@gmail.com" TargetMode="External"/><Relationship Id="rId26" Type="http://schemas.openxmlformats.org/officeDocument/2006/relationships/hyperlink" Target="mailto:enie_aquarius@yahoo.co.id" TargetMode="External"/><Relationship Id="rId25" Type="http://schemas.openxmlformats.org/officeDocument/2006/relationships/hyperlink" Target="mailto:lhiena86@gmail.com" TargetMode="External"/><Relationship Id="rId24" Type="http://schemas.openxmlformats.org/officeDocument/2006/relationships/hyperlink" Target="mailto:yennirusanda@gamail.com" TargetMode="External"/><Relationship Id="rId23" Type="http://schemas.openxmlformats.org/officeDocument/2006/relationships/hyperlink" Target="http://s.si/" TargetMode="External"/><Relationship Id="rId22" Type="http://schemas.openxmlformats.org/officeDocument/2006/relationships/hyperlink" Target="http://s.pd/" TargetMode="External"/><Relationship Id="rId21" Type="http://schemas.openxmlformats.org/officeDocument/2006/relationships/hyperlink" Target="mailto:dewisariratna28@yahoo.co.id" TargetMode="External"/><Relationship Id="rId20" Type="http://schemas.openxmlformats.org/officeDocument/2006/relationships/hyperlink" Target="mailto:utammio607@gmail.com" TargetMode="External"/><Relationship Id="rId2" Type="http://schemas.openxmlformats.org/officeDocument/2006/relationships/hyperlink" Target="mailto:smansaberau_smart@yahoo.com" TargetMode="External"/><Relationship Id="rId19" Type="http://schemas.openxmlformats.org/officeDocument/2006/relationships/hyperlink" Target="mailto:gibran.curut@gmail.vom" TargetMode="External"/><Relationship Id="rId18" Type="http://schemas.openxmlformats.org/officeDocument/2006/relationships/hyperlink" Target="mailto:faidahsantoso@gmail.com" TargetMode="External"/><Relationship Id="rId17" Type="http://schemas.openxmlformats.org/officeDocument/2006/relationships/hyperlink" Target="mailto:watihasma834@gmail.com" TargetMode="External"/><Relationship Id="rId16" Type="http://schemas.openxmlformats.org/officeDocument/2006/relationships/hyperlink" Target="mailto:phaluntai@gmail.com" TargetMode="External"/><Relationship Id="rId15" Type="http://schemas.openxmlformats.org/officeDocument/2006/relationships/hyperlink" Target="mailto:Bay_you69@yahoo.co.id" TargetMode="External"/><Relationship Id="rId14" Type="http://schemas.openxmlformats.org/officeDocument/2006/relationships/hyperlink" Target="mailto:anwarmakassar50@gmail.com" TargetMode="External"/><Relationship Id="rId13" Type="http://schemas.openxmlformats.org/officeDocument/2006/relationships/hyperlink" Target="mailto:antonsinar69@gmail.com" TargetMode="External"/><Relationship Id="rId12" Type="http://schemas.openxmlformats.org/officeDocument/2006/relationships/hyperlink" Target="mailto:rianiarief02@gmail.com" TargetMode="External"/><Relationship Id="rId11" Type="http://schemas.openxmlformats.org/officeDocument/2006/relationships/hyperlink" Target="mailto:Rifanrafli976@gmail.com" TargetMode="External"/><Relationship Id="rId10" Type="http://schemas.openxmlformats.org/officeDocument/2006/relationships/hyperlink" Target="mailto:Rusdiani07031984@gmail.com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harmanmm0@gmail.com" TargetMode="External"/><Relationship Id="rId8" Type="http://schemas.openxmlformats.org/officeDocument/2006/relationships/hyperlink" Target="mailto:ikhsanatph8@gmail.com" TargetMode="External"/><Relationship Id="rId7" Type="http://schemas.openxmlformats.org/officeDocument/2006/relationships/hyperlink" Target="mailto:salimnurpermadi@gmail.com" TargetMode="External"/><Relationship Id="rId6" Type="http://schemas.openxmlformats.org/officeDocument/2006/relationships/hyperlink" Target="mailto:Edyberau99@gmail.com" TargetMode="External"/><Relationship Id="rId5" Type="http://schemas.openxmlformats.org/officeDocument/2006/relationships/hyperlink" Target="mailto:AminahR.Nyakman100@yahoo.com" TargetMode="External"/><Relationship Id="rId4" Type="http://schemas.openxmlformats.org/officeDocument/2006/relationships/hyperlink" Target="mailto:fitriani_endah@yahoo.com" TargetMode="External"/><Relationship Id="rId35" Type="http://schemas.openxmlformats.org/officeDocument/2006/relationships/hyperlink" Target="mailto:romandhonkardi@gmail.com" TargetMode="External"/><Relationship Id="rId34" Type="http://schemas.openxmlformats.org/officeDocument/2006/relationships/hyperlink" Target="mailto:juhriisyah@gmail.com" TargetMode="External"/><Relationship Id="rId33" Type="http://schemas.openxmlformats.org/officeDocument/2006/relationships/hyperlink" Target="mailto:ilyas333@gmail.com" TargetMode="External"/><Relationship Id="rId32" Type="http://schemas.openxmlformats.org/officeDocument/2006/relationships/hyperlink" Target="mailto:kaka_tini@yahoo.com" TargetMode="External"/><Relationship Id="rId31" Type="http://schemas.openxmlformats.org/officeDocument/2006/relationships/hyperlink" Target="mailto:jusmawati51@yahoo.co.id" TargetMode="External"/><Relationship Id="rId30" Type="http://schemas.openxmlformats.org/officeDocument/2006/relationships/hyperlink" Target="mailto:Dwisusilawati@yahoo.com" TargetMode="External"/><Relationship Id="rId3" Type="http://schemas.openxmlformats.org/officeDocument/2006/relationships/hyperlink" Target="mailto:dita.trivera@gmail.com" TargetMode="External"/><Relationship Id="rId29" Type="http://schemas.openxmlformats.org/officeDocument/2006/relationships/hyperlink" Target="mailto:fadilah.agus@yahoo.com" TargetMode="External"/><Relationship Id="rId28" Type="http://schemas.openxmlformats.org/officeDocument/2006/relationships/hyperlink" Target="mailto:anismarsela815@gmail.com" TargetMode="External"/><Relationship Id="rId27" Type="http://schemas.openxmlformats.org/officeDocument/2006/relationships/hyperlink" Target="mailto:zhulfa95@gmail.com" TargetMode="External"/><Relationship Id="rId26" Type="http://schemas.openxmlformats.org/officeDocument/2006/relationships/hyperlink" Target="mailto:sulissetiowati375@gmail.com" TargetMode="External"/><Relationship Id="rId25" Type="http://schemas.openxmlformats.org/officeDocument/2006/relationships/hyperlink" Target="mailto:sriewahyuni55@yahoo.com" TargetMode="External"/><Relationship Id="rId24" Type="http://schemas.openxmlformats.org/officeDocument/2006/relationships/hyperlink" Target="mailto:Rikaws85@yahoo.com" TargetMode="External"/><Relationship Id="rId23" Type="http://schemas.openxmlformats.org/officeDocument/2006/relationships/hyperlink" Target="mailto:wijayadody36@yahoo.co.id" TargetMode="External"/><Relationship Id="rId22" Type="http://schemas.openxmlformats.org/officeDocument/2006/relationships/hyperlink" Target="mailto:anitahandayani1988@gmail.com" TargetMode="External"/><Relationship Id="rId21" Type="http://schemas.openxmlformats.org/officeDocument/2006/relationships/hyperlink" Target="mailto:jurnalis.math10@gmail.com" TargetMode="External"/><Relationship Id="rId20" Type="http://schemas.openxmlformats.org/officeDocument/2006/relationships/hyperlink" Target="mailto:vhyaochaa@yahoo.co.id" TargetMode="External"/><Relationship Id="rId2" Type="http://schemas.openxmlformats.org/officeDocument/2006/relationships/hyperlink" Target="mailto:rosadi.berau@gmail.com" TargetMode="External"/><Relationship Id="rId19" Type="http://schemas.openxmlformats.org/officeDocument/2006/relationships/hyperlink" Target="mailto:triningsihtri003@gmail.com" TargetMode="External"/><Relationship Id="rId18" Type="http://schemas.openxmlformats.org/officeDocument/2006/relationships/hyperlink" Target="mailto:samsuddinuddin367@gmail.com" TargetMode="External"/><Relationship Id="rId17" Type="http://schemas.openxmlformats.org/officeDocument/2006/relationships/hyperlink" Target="mailto:alpiusmarlinawati@yahoo.com" TargetMode="External"/><Relationship Id="rId16" Type="http://schemas.openxmlformats.org/officeDocument/2006/relationships/hyperlink" Target="mailto:DARNI.ELDA1992@gmail.com" TargetMode="External"/><Relationship Id="rId15" Type="http://schemas.openxmlformats.org/officeDocument/2006/relationships/hyperlink" Target="http://s.pd/" TargetMode="External"/><Relationship Id="rId14" Type="http://schemas.openxmlformats.org/officeDocument/2006/relationships/hyperlink" Target="mailto:nurmaindriyani93@gmail.com" TargetMode="External"/><Relationship Id="rId13" Type="http://schemas.openxmlformats.org/officeDocument/2006/relationships/hyperlink" Target="mailto:Liyaninurul4@gmail.com" TargetMode="External"/><Relationship Id="rId12" Type="http://schemas.openxmlformats.org/officeDocument/2006/relationships/hyperlink" Target="mailto:memey_chan9118@yahoo.co.id" TargetMode="External"/><Relationship Id="rId11" Type="http://schemas.openxmlformats.org/officeDocument/2006/relationships/hyperlink" Target="mailto:iwan23isco@gmail.com" TargetMode="External"/><Relationship Id="rId10" Type="http://schemas.openxmlformats.org/officeDocument/2006/relationships/hyperlink" Target="mailto:wandadaka@gmail.com" TargetMode="Externa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0"/>
  <sheetViews>
    <sheetView workbookViewId="0">
      <selection activeCell="K17" sqref="K17"/>
    </sheetView>
  </sheetViews>
  <sheetFormatPr defaultColWidth="9" defaultRowHeight="14.5" outlineLevelCol="1"/>
  <sheetData>
    <row r="1" spans="1:1">
      <c r="A1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U227"/>
  <sheetViews>
    <sheetView topLeftCell="A211" workbookViewId="0">
      <selection activeCell="E205" sqref="E205"/>
    </sheetView>
  </sheetViews>
  <sheetFormatPr defaultColWidth="8.70909090909091" defaultRowHeight="14.5"/>
  <cols>
    <col min="1" max="1" width="4" style="1" customWidth="1"/>
    <col min="2" max="2" width="26.2818181818182" style="1" customWidth="1"/>
    <col min="3" max="3" width="14.7090909090909" style="5" customWidth="1"/>
    <col min="4" max="4" width="7.42727272727273" style="5" customWidth="1"/>
    <col min="5" max="5" width="33.2818181818182" style="5" customWidth="1"/>
    <col min="6" max="6" width="11.2818181818182" style="1" customWidth="1"/>
    <col min="7" max="7" width="34.1363636363636" style="5" customWidth="1"/>
    <col min="8" max="8" width="13.5727272727273" style="5" customWidth="1"/>
    <col min="9" max="9" width="38.5727272727273" style="5" customWidth="1"/>
    <col min="10" max="10" width="12.2818181818182" style="5" customWidth="1"/>
    <col min="11" max="11" width="2.85454545454545" style="5" customWidth="1"/>
    <col min="12" max="12" width="19.5727272727273" style="5" customWidth="1"/>
    <col min="13" max="13" width="16.7090909090909" style="101" customWidth="1"/>
    <col min="14" max="14" width="17.2818181818182" style="1" customWidth="1"/>
    <col min="15" max="15" width="16.7090909090909" style="101" customWidth="1"/>
    <col min="16" max="16" width="16.2818181818182" style="101" customWidth="1"/>
    <col min="17" max="17" width="10.2818181818182" style="101" customWidth="1"/>
    <col min="18" max="18" width="18.2818181818182" style="101" customWidth="1"/>
    <col min="19" max="19" width="4" style="1" customWidth="1"/>
    <col min="20" max="20" width="18.5727272727273" style="1" customWidth="1"/>
    <col min="21" max="21" width="26.8545454545455" style="5" customWidth="1"/>
    <col min="22" max="22" width="26.5727272727273" style="5" customWidth="1"/>
    <col min="23" max="23" width="15" style="5" customWidth="1"/>
    <col min="24" max="24" width="55.8545454545455" style="1" customWidth="1"/>
    <col min="25" max="25" width="4" style="1" customWidth="1"/>
    <col min="26" max="26" width="3.85454545454545" style="1" customWidth="1"/>
    <col min="27" max="27" width="18.7090909090909" style="1" customWidth="1"/>
    <col min="28" max="28" width="33.4272727272727" style="5" customWidth="1"/>
    <col min="29" max="29" width="10.2818181818182" style="101" customWidth="1"/>
    <col min="30" max="30" width="30.4272727272727" style="5" customWidth="1"/>
    <col min="31" max="31" width="14.2818181818182" style="1" customWidth="1"/>
    <col min="32" max="32" width="15.1363636363636" style="101" customWidth="1"/>
    <col min="33" max="33" width="36.8545454545455" style="5" customWidth="1"/>
    <col min="34" max="34" width="25.5727272727273" style="1" customWidth="1"/>
    <col min="35" max="35" width="12.5727272727273" style="1" customWidth="1"/>
    <col min="36" max="36" width="34.7090909090909" style="5" customWidth="1"/>
    <col min="37" max="38" width="17.5727272727273" style="5" customWidth="1"/>
    <col min="39" max="39" width="25.2818181818182" style="5" customWidth="1"/>
    <col min="40" max="40" width="19.2818181818182" style="5" customWidth="1"/>
    <col min="41" max="41" width="22.4272727272727" style="5" customWidth="1"/>
    <col min="42" max="42" width="16.7090909090909" style="101" customWidth="1"/>
    <col min="43" max="43" width="27.5727272727273" style="5" customWidth="1"/>
    <col min="44" max="44" width="22.1363636363636" style="1" customWidth="1"/>
    <col min="45" max="45" width="21.1363636363636" style="5" customWidth="1"/>
    <col min="46" max="46" width="17.4272727272727" style="1" customWidth="1"/>
    <col min="47" max="47" width="19.8545454545455" style="5" customWidth="1"/>
    <col min="48" max="48" width="19.7090909090909" style="1" customWidth="1"/>
    <col min="49" max="49" width="12.2818181818182" style="5" customWidth="1"/>
    <col min="50" max="50" width="46.4272727272727" style="5" customWidth="1"/>
    <col min="51" max="51" width="38.5727272727273" style="5" customWidth="1"/>
    <col min="52" max="52" width="21.4272727272727" style="1" customWidth="1"/>
    <col min="53" max="53" width="20.7090909090909" style="1" customWidth="1"/>
    <col min="54" max="54" width="30.2818181818182" style="5" customWidth="1"/>
    <col min="55" max="55" width="79.7090909090909" style="1" customWidth="1"/>
    <col min="56" max="56" width="20.2818181818182" style="1" customWidth="1"/>
    <col min="57" max="58" width="9" style="1" customWidth="1"/>
    <col min="59" max="59" width="75.7090909090909" style="1" customWidth="1"/>
    <col min="60" max="60" width="19.1363636363636" style="1" customWidth="1"/>
    <col min="61" max="61" width="16.7090909090909" style="5" customWidth="1"/>
    <col min="62" max="62" width="34.1363636363636" style="1" customWidth="1"/>
    <col min="63" max="63" width="15.2818181818182" style="101" customWidth="1"/>
    <col min="64" max="64" width="8.70909090909091" style="284"/>
    <col min="65" max="16384" width="8.70909090909091" style="1"/>
  </cols>
  <sheetData>
    <row r="1" spans="1:63">
      <c r="A1" s="46" t="s">
        <v>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</row>
    <row r="2" spans="1:63">
      <c r="A2" s="46" t="s">
        <v>10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</row>
    <row r="3" spans="1:63">
      <c r="A3" s="46" t="s">
        <v>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</row>
    <row r="5" spans="1:63">
      <c r="A5" s="6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8" t="s">
        <v>24</v>
      </c>
      <c r="N5" s="6" t="s">
        <v>25</v>
      </c>
      <c r="O5" s="6" t="s">
        <v>26</v>
      </c>
      <c r="P5" s="6" t="s">
        <v>25</v>
      </c>
      <c r="Q5" s="6" t="s">
        <v>27</v>
      </c>
      <c r="R5" s="6" t="s">
        <v>28</v>
      </c>
      <c r="S5" s="6" t="s">
        <v>29</v>
      </c>
      <c r="T5" s="6" t="s">
        <v>30</v>
      </c>
      <c r="U5" s="7" t="s">
        <v>31</v>
      </c>
      <c r="V5" s="7" t="s">
        <v>32</v>
      </c>
      <c r="W5" s="7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7" t="s">
        <v>38</v>
      </c>
      <c r="AC5" s="8" t="s">
        <v>39</v>
      </c>
      <c r="AD5" s="7" t="s">
        <v>40</v>
      </c>
      <c r="AE5" s="6" t="s">
        <v>41</v>
      </c>
      <c r="AF5" s="8" t="s">
        <v>42</v>
      </c>
      <c r="AG5" s="7" t="s">
        <v>43</v>
      </c>
      <c r="AH5" s="6" t="s">
        <v>44</v>
      </c>
      <c r="AI5" s="6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6" t="s">
        <v>51</v>
      </c>
      <c r="AP5" s="8" t="s">
        <v>52</v>
      </c>
      <c r="AQ5" s="7" t="s">
        <v>53</v>
      </c>
      <c r="AR5" s="6" t="s">
        <v>54</v>
      </c>
      <c r="AS5" s="7" t="s">
        <v>55</v>
      </c>
      <c r="AT5" s="6" t="s">
        <v>56</v>
      </c>
      <c r="AU5" s="7" t="s">
        <v>57</v>
      </c>
      <c r="AV5" s="6" t="s">
        <v>58</v>
      </c>
      <c r="AW5" s="7" t="s">
        <v>59</v>
      </c>
      <c r="AX5" s="7" t="s">
        <v>60</v>
      </c>
      <c r="AY5" s="7" t="s">
        <v>61</v>
      </c>
      <c r="AZ5" s="6" t="s">
        <v>62</v>
      </c>
      <c r="BA5" s="6" t="s">
        <v>63</v>
      </c>
      <c r="BB5" s="7" t="s">
        <v>64</v>
      </c>
      <c r="BC5" s="6" t="s">
        <v>65</v>
      </c>
      <c r="BD5" s="6" t="s">
        <v>66</v>
      </c>
      <c r="BE5" s="6" t="s">
        <v>67</v>
      </c>
      <c r="BF5" s="6" t="s">
        <v>68</v>
      </c>
      <c r="BG5" s="6" t="s">
        <v>69</v>
      </c>
      <c r="BH5" s="6" t="s">
        <v>70</v>
      </c>
      <c r="BI5" s="7" t="s">
        <v>71</v>
      </c>
      <c r="BJ5" s="6" t="s">
        <v>72</v>
      </c>
      <c r="BK5" s="6" t="s">
        <v>73</v>
      </c>
    </row>
    <row r="6" spans="1:63">
      <c r="A6" s="54">
        <v>1</v>
      </c>
      <c r="B6" s="54" t="s">
        <v>74</v>
      </c>
      <c r="C6" s="54" t="s">
        <v>75</v>
      </c>
      <c r="D6" s="54" t="s">
        <v>76</v>
      </c>
      <c r="E6" s="54" t="s">
        <v>77</v>
      </c>
      <c r="F6" s="54"/>
      <c r="G6" s="12" t="s">
        <v>78</v>
      </c>
      <c r="H6" s="54" t="s">
        <v>79</v>
      </c>
      <c r="I6" s="102" t="str">
        <f t="shared" ref="I6:I69" si="0">IF(H6&lt;&gt;"",G6&amp;", "&amp;H6,G6)</f>
        <v>Aprilia Tri Prihatini, S.Pd.B</v>
      </c>
      <c r="J6" s="12" t="s">
        <v>80</v>
      </c>
      <c r="K6" s="102" t="str">
        <f t="shared" ref="K6:K45" si="1">IF(J6="P","Perempuan",IF(J6="L","Laki-laki"))</f>
        <v>Perempuan</v>
      </c>
      <c r="L6" s="12" t="s">
        <v>81</v>
      </c>
      <c r="M6" s="104">
        <v>31892</v>
      </c>
      <c r="N6" s="304" t="str">
        <f ca="1" t="shared" ref="N6:N69" si="2">+DATEDIF(M6,NOW(),"Y")&amp;" Tahun "&amp;+DATEDIF(M6,NOW(),"YM")&amp;" Bulan "</f>
        <v>38 Tahun 6 Bulan </v>
      </c>
      <c r="O6" s="104">
        <v>31892</v>
      </c>
      <c r="P6" s="105">
        <f ca="1" t="shared" ref="P6:P18" si="3">+DATEDIF(O6,NOW(),"Y")</f>
        <v>38</v>
      </c>
      <c r="Q6" s="105" t="str">
        <f ca="1" t="shared" ref="Q6:Q18" si="4">IF(P6&gt;56,"Lewat","OKE")</f>
        <v>OKE</v>
      </c>
      <c r="R6" s="549" t="s">
        <v>82</v>
      </c>
      <c r="S6" s="54"/>
      <c r="T6" s="54"/>
      <c r="U6" s="22" t="s">
        <v>83</v>
      </c>
      <c r="V6" s="22" t="s">
        <v>84</v>
      </c>
      <c r="W6" s="52" t="s">
        <v>85</v>
      </c>
      <c r="X6" s="12" t="s">
        <v>86</v>
      </c>
      <c r="Y6" s="60">
        <v>4</v>
      </c>
      <c r="Z6" s="54"/>
      <c r="AA6" s="54"/>
      <c r="AB6" s="59" t="s">
        <v>87</v>
      </c>
      <c r="AC6" s="12">
        <v>77311</v>
      </c>
      <c r="AD6" s="52" t="s">
        <v>88</v>
      </c>
      <c r="AE6" s="54"/>
      <c r="AF6" s="322" t="s">
        <v>89</v>
      </c>
      <c r="AG6" s="12" t="s">
        <v>90</v>
      </c>
      <c r="AH6" s="54"/>
      <c r="AI6" s="54"/>
      <c r="AJ6" s="107" t="s">
        <v>91</v>
      </c>
      <c r="AK6" s="325">
        <v>42196</v>
      </c>
      <c r="AL6" s="326" t="str">
        <f ca="1" t="shared" ref="AL6:AL33" si="5">+DATEDIF(AK6,NOW(),"Y")&amp;" Tahun "&amp;+DATEDIF(AK6,NOW(),"YM")&amp;" Bulan "</f>
        <v>10 Tahun 3 Bulan </v>
      </c>
      <c r="AM6" s="52" t="s">
        <v>92</v>
      </c>
      <c r="AN6" s="52" t="s">
        <v>93</v>
      </c>
      <c r="AO6" s="12" t="s">
        <v>94</v>
      </c>
      <c r="AP6" s="322" t="s">
        <v>95</v>
      </c>
      <c r="AQ6" s="12" t="s">
        <v>96</v>
      </c>
      <c r="AR6" s="281" t="s">
        <v>97</v>
      </c>
      <c r="AS6" s="12" t="s">
        <v>98</v>
      </c>
      <c r="AT6" s="281"/>
      <c r="AU6" s="54"/>
      <c r="AV6" s="12" t="s">
        <v>99</v>
      </c>
      <c r="AW6" s="107" t="s">
        <v>100</v>
      </c>
      <c r="AX6" s="337" t="s">
        <v>101</v>
      </c>
      <c r="AY6" s="338" t="s">
        <v>102</v>
      </c>
      <c r="AZ6" s="54"/>
      <c r="BA6" s="54"/>
      <c r="BB6" s="54"/>
      <c r="BC6" s="12" t="s">
        <v>103</v>
      </c>
      <c r="BD6" s="54"/>
      <c r="BE6" s="281">
        <v>30</v>
      </c>
      <c r="BF6" s="281">
        <v>30</v>
      </c>
      <c r="BG6" s="39" t="s">
        <v>104</v>
      </c>
      <c r="BH6" s="281" t="s">
        <v>105</v>
      </c>
      <c r="BI6" s="338" t="s">
        <v>88</v>
      </c>
      <c r="BJ6" s="37" t="s">
        <v>106</v>
      </c>
      <c r="BK6" s="550" t="s">
        <v>107</v>
      </c>
    </row>
    <row r="7" spans="1:63">
      <c r="A7" s="54">
        <v>2</v>
      </c>
      <c r="B7" s="54" t="s">
        <v>108</v>
      </c>
      <c r="C7" s="54" t="s">
        <v>75</v>
      </c>
      <c r="D7" s="54" t="s">
        <v>76</v>
      </c>
      <c r="E7" s="54" t="s">
        <v>77</v>
      </c>
      <c r="F7" s="54"/>
      <c r="G7" s="12" t="s">
        <v>109</v>
      </c>
      <c r="H7" s="54"/>
      <c r="I7" s="102" t="str">
        <f t="shared" si="0"/>
        <v>Asmiati</v>
      </c>
      <c r="J7" s="12" t="s">
        <v>80</v>
      </c>
      <c r="K7" s="102" t="str">
        <f t="shared" si="1"/>
        <v>Perempuan</v>
      </c>
      <c r="L7" s="12" t="s">
        <v>88</v>
      </c>
      <c r="M7" s="104">
        <v>27296</v>
      </c>
      <c r="N7" s="304" t="str">
        <f ca="1" t="shared" si="2"/>
        <v>51 Tahun 1 Bulan </v>
      </c>
      <c r="O7" s="104">
        <v>27296</v>
      </c>
      <c r="P7" s="105">
        <f ca="1" t="shared" si="3"/>
        <v>51</v>
      </c>
      <c r="Q7" s="105" t="str">
        <f ca="1" t="shared" si="4"/>
        <v>OKE</v>
      </c>
      <c r="R7" s="551" t="s">
        <v>110</v>
      </c>
      <c r="S7" s="54"/>
      <c r="T7" s="54"/>
      <c r="U7" s="22" t="s">
        <v>111</v>
      </c>
      <c r="V7" s="22" t="s">
        <v>84</v>
      </c>
      <c r="W7" s="52" t="s">
        <v>112</v>
      </c>
      <c r="X7" s="12" t="s">
        <v>113</v>
      </c>
      <c r="Y7" s="60">
        <v>15</v>
      </c>
      <c r="Z7" s="54"/>
      <c r="AA7" s="54"/>
      <c r="AB7" s="59" t="s">
        <v>88</v>
      </c>
      <c r="AC7" s="12">
        <v>77312</v>
      </c>
      <c r="AD7" s="52" t="s">
        <v>88</v>
      </c>
      <c r="AE7" s="54"/>
      <c r="AF7" s="322" t="s">
        <v>114</v>
      </c>
      <c r="AG7" s="12" t="s">
        <v>90</v>
      </c>
      <c r="AH7" s="54"/>
      <c r="AI7" s="54"/>
      <c r="AJ7" s="107" t="s">
        <v>115</v>
      </c>
      <c r="AK7" s="325">
        <v>39279</v>
      </c>
      <c r="AL7" s="326" t="str">
        <f ca="1" t="shared" si="5"/>
        <v>18 Tahun 3 Bulan </v>
      </c>
      <c r="AM7" s="52" t="s">
        <v>92</v>
      </c>
      <c r="AN7" s="52" t="s">
        <v>93</v>
      </c>
      <c r="AO7" s="12" t="s">
        <v>116</v>
      </c>
      <c r="AP7" s="322" t="s">
        <v>95</v>
      </c>
      <c r="AQ7" s="12" t="s">
        <v>117</v>
      </c>
      <c r="AR7" s="281" t="s">
        <v>118</v>
      </c>
      <c r="AS7" s="12" t="s">
        <v>98</v>
      </c>
      <c r="AT7" s="281"/>
      <c r="AU7" s="54"/>
      <c r="AV7" s="12" t="s">
        <v>119</v>
      </c>
      <c r="AW7" s="107" t="s">
        <v>100</v>
      </c>
      <c r="AX7" s="337" t="s">
        <v>120</v>
      </c>
      <c r="AY7" s="271" t="s">
        <v>121</v>
      </c>
      <c r="AZ7" s="54"/>
      <c r="BA7" s="54"/>
      <c r="BB7" s="54"/>
      <c r="BC7" s="54"/>
      <c r="BD7" s="54"/>
      <c r="BE7" s="281"/>
      <c r="BF7" s="281"/>
      <c r="BG7" s="54"/>
      <c r="BH7" s="281" t="s">
        <v>105</v>
      </c>
      <c r="BI7" s="338" t="s">
        <v>88</v>
      </c>
      <c r="BJ7" s="338" t="s">
        <v>122</v>
      </c>
      <c r="BK7" s="552" t="s">
        <v>123</v>
      </c>
    </row>
    <row r="8" spans="1:63">
      <c r="A8" s="54">
        <v>3</v>
      </c>
      <c r="B8" s="54" t="s">
        <v>124</v>
      </c>
      <c r="C8" s="54" t="s">
        <v>75</v>
      </c>
      <c r="D8" s="54" t="s">
        <v>76</v>
      </c>
      <c r="E8" s="54" t="s">
        <v>77</v>
      </c>
      <c r="F8" s="54"/>
      <c r="G8" s="12" t="s">
        <v>125</v>
      </c>
      <c r="H8" s="54" t="s">
        <v>126</v>
      </c>
      <c r="I8" s="102" t="str">
        <f t="shared" si="0"/>
        <v>Debby Heryawan, S.ST</v>
      </c>
      <c r="J8" s="12" t="s">
        <v>127</v>
      </c>
      <c r="K8" s="102" t="str">
        <f t="shared" si="1"/>
        <v>Laki-laki</v>
      </c>
      <c r="L8" s="12" t="s">
        <v>88</v>
      </c>
      <c r="M8" s="104">
        <v>32486</v>
      </c>
      <c r="N8" s="304" t="str">
        <f ca="1" t="shared" si="2"/>
        <v>36 Tahun 10 Bulan </v>
      </c>
      <c r="O8" s="104">
        <v>32486</v>
      </c>
      <c r="P8" s="105">
        <f ca="1" t="shared" si="3"/>
        <v>36</v>
      </c>
      <c r="Q8" s="105" t="str">
        <f ca="1" t="shared" si="4"/>
        <v>OKE</v>
      </c>
      <c r="R8" s="551" t="s">
        <v>128</v>
      </c>
      <c r="S8" s="54"/>
      <c r="T8" s="54"/>
      <c r="U8" s="22" t="s">
        <v>129</v>
      </c>
      <c r="V8" s="22" t="s">
        <v>84</v>
      </c>
      <c r="W8" s="52" t="s">
        <v>112</v>
      </c>
      <c r="X8" s="12" t="s">
        <v>130</v>
      </c>
      <c r="Y8" s="60">
        <v>8</v>
      </c>
      <c r="Z8" s="54"/>
      <c r="AA8" s="54"/>
      <c r="AB8" s="59" t="s">
        <v>131</v>
      </c>
      <c r="AC8" s="12">
        <v>77315</v>
      </c>
      <c r="AD8" s="12" t="s">
        <v>131</v>
      </c>
      <c r="AE8" s="54"/>
      <c r="AF8" s="322" t="s">
        <v>132</v>
      </c>
      <c r="AG8" s="327" t="s">
        <v>133</v>
      </c>
      <c r="AH8" s="54"/>
      <c r="AI8" s="54"/>
      <c r="AJ8" s="107" t="s">
        <v>134</v>
      </c>
      <c r="AK8" s="553" t="s">
        <v>135</v>
      </c>
      <c r="AL8" s="326" t="str">
        <f ca="1" t="shared" si="5"/>
        <v>13 Tahun 10 Bulan </v>
      </c>
      <c r="AM8" s="52" t="s">
        <v>136</v>
      </c>
      <c r="AN8" s="52" t="s">
        <v>93</v>
      </c>
      <c r="AO8" s="12" t="s">
        <v>137</v>
      </c>
      <c r="AP8" s="322" t="s">
        <v>95</v>
      </c>
      <c r="AQ8" s="12" t="s">
        <v>138</v>
      </c>
      <c r="AR8" s="281"/>
      <c r="AS8" s="12" t="s">
        <v>139</v>
      </c>
      <c r="AT8" s="281"/>
      <c r="AU8" s="54"/>
      <c r="AV8" s="12" t="s">
        <v>140</v>
      </c>
      <c r="AW8" s="107" t="s">
        <v>100</v>
      </c>
      <c r="AX8" s="339" t="s">
        <v>101</v>
      </c>
      <c r="AY8" s="271" t="s">
        <v>141</v>
      </c>
      <c r="AZ8" s="54"/>
      <c r="BA8" s="54"/>
      <c r="BB8" s="54"/>
      <c r="BC8" s="54"/>
      <c r="BD8" s="54"/>
      <c r="BE8" s="281"/>
      <c r="BF8" s="281"/>
      <c r="BG8" s="54"/>
      <c r="BH8" s="281" t="s">
        <v>105</v>
      </c>
      <c r="BI8" s="338" t="s">
        <v>88</v>
      </c>
      <c r="BJ8" s="338" t="s">
        <v>142</v>
      </c>
      <c r="BK8" s="552" t="s">
        <v>143</v>
      </c>
    </row>
    <row r="9" spans="1:63">
      <c r="A9" s="54">
        <v>4</v>
      </c>
      <c r="B9" s="54" t="s">
        <v>144</v>
      </c>
      <c r="C9" s="54" t="s">
        <v>75</v>
      </c>
      <c r="D9" s="54" t="s">
        <v>76</v>
      </c>
      <c r="E9" s="54" t="s">
        <v>77</v>
      </c>
      <c r="F9" s="54"/>
      <c r="G9" s="12" t="s">
        <v>145</v>
      </c>
      <c r="H9" s="54" t="s">
        <v>126</v>
      </c>
      <c r="I9" s="102" t="str">
        <f t="shared" si="0"/>
        <v>Devi Ayunani, S.ST</v>
      </c>
      <c r="J9" s="12" t="s">
        <v>80</v>
      </c>
      <c r="K9" s="102" t="str">
        <f t="shared" si="1"/>
        <v>Perempuan</v>
      </c>
      <c r="L9" s="12" t="s">
        <v>88</v>
      </c>
      <c r="M9" s="104">
        <v>33231</v>
      </c>
      <c r="N9" s="304" t="str">
        <f ca="1" t="shared" si="2"/>
        <v>34 Tahun 10 Bulan </v>
      </c>
      <c r="O9" s="104">
        <v>33231</v>
      </c>
      <c r="P9" s="105">
        <f ca="1" t="shared" si="3"/>
        <v>34</v>
      </c>
      <c r="Q9" s="105" t="str">
        <f ca="1" t="shared" si="4"/>
        <v>OKE</v>
      </c>
      <c r="R9" s="551" t="s">
        <v>146</v>
      </c>
      <c r="S9" s="54"/>
      <c r="T9" s="54"/>
      <c r="U9" s="22" t="s">
        <v>129</v>
      </c>
      <c r="V9" s="22" t="s">
        <v>84</v>
      </c>
      <c r="W9" s="52" t="s">
        <v>112</v>
      </c>
      <c r="X9" s="12" t="s">
        <v>147</v>
      </c>
      <c r="Y9" s="60">
        <v>7</v>
      </c>
      <c r="Z9" s="54"/>
      <c r="AA9" s="54"/>
      <c r="AB9" s="59" t="s">
        <v>148</v>
      </c>
      <c r="AC9" s="12">
        <v>77315</v>
      </c>
      <c r="AD9" s="12" t="s">
        <v>131</v>
      </c>
      <c r="AE9" s="54"/>
      <c r="AF9" s="322" t="s">
        <v>149</v>
      </c>
      <c r="AG9" s="12" t="s">
        <v>150</v>
      </c>
      <c r="AH9" s="54"/>
      <c r="AI9" s="54"/>
      <c r="AJ9" s="107" t="s">
        <v>151</v>
      </c>
      <c r="AK9" s="553" t="s">
        <v>152</v>
      </c>
      <c r="AL9" s="326" t="str">
        <f ca="1" t="shared" si="5"/>
        <v>12 Tahun 10 Bulan </v>
      </c>
      <c r="AM9" s="52" t="s">
        <v>92</v>
      </c>
      <c r="AN9" s="52" t="s">
        <v>93</v>
      </c>
      <c r="AO9" s="12" t="s">
        <v>153</v>
      </c>
      <c r="AP9" s="322" t="s">
        <v>95</v>
      </c>
      <c r="AQ9" s="12" t="s">
        <v>154</v>
      </c>
      <c r="AR9" s="281"/>
      <c r="AS9" s="12" t="s">
        <v>155</v>
      </c>
      <c r="AT9" s="281"/>
      <c r="AU9" s="54"/>
      <c r="AV9" s="12" t="s">
        <v>156</v>
      </c>
      <c r="AW9" s="107" t="s">
        <v>100</v>
      </c>
      <c r="AX9" s="339" t="s">
        <v>101</v>
      </c>
      <c r="AY9" s="271" t="s">
        <v>141</v>
      </c>
      <c r="AZ9" s="54"/>
      <c r="BA9" s="54"/>
      <c r="BB9" s="54"/>
      <c r="BC9" s="54"/>
      <c r="BD9" s="54"/>
      <c r="BE9" s="281"/>
      <c r="BF9" s="281"/>
      <c r="BG9" s="54"/>
      <c r="BH9" s="281" t="s">
        <v>105</v>
      </c>
      <c r="BI9" s="338" t="s">
        <v>88</v>
      </c>
      <c r="BJ9" s="346" t="s">
        <v>157</v>
      </c>
      <c r="BK9" s="552" t="s">
        <v>158</v>
      </c>
    </row>
    <row r="10" spans="1:63">
      <c r="A10" s="54">
        <v>5</v>
      </c>
      <c r="B10" s="54" t="s">
        <v>159</v>
      </c>
      <c r="C10" s="54" t="s">
        <v>75</v>
      </c>
      <c r="D10" s="54" t="s">
        <v>76</v>
      </c>
      <c r="E10" s="54" t="s">
        <v>77</v>
      </c>
      <c r="F10" s="54"/>
      <c r="G10" s="12" t="s">
        <v>160</v>
      </c>
      <c r="H10" s="54" t="s">
        <v>161</v>
      </c>
      <c r="I10" s="102" t="str">
        <f t="shared" si="0"/>
        <v>Dwi Mairisna, SE</v>
      </c>
      <c r="J10" s="12" t="s">
        <v>80</v>
      </c>
      <c r="K10" s="102" t="str">
        <f t="shared" si="1"/>
        <v>Perempuan</v>
      </c>
      <c r="L10" s="12" t="s">
        <v>162</v>
      </c>
      <c r="M10" s="104">
        <v>30448</v>
      </c>
      <c r="N10" s="304" t="str">
        <f ca="1" t="shared" si="2"/>
        <v>42 Tahun 5 Bulan </v>
      </c>
      <c r="O10" s="104">
        <v>30448</v>
      </c>
      <c r="P10" s="105">
        <f ca="1" t="shared" si="3"/>
        <v>42</v>
      </c>
      <c r="Q10" s="105" t="str">
        <f ca="1" t="shared" si="4"/>
        <v>OKE</v>
      </c>
      <c r="R10" s="551" t="s">
        <v>163</v>
      </c>
      <c r="S10" s="54"/>
      <c r="T10" s="54"/>
      <c r="U10" s="22" t="s">
        <v>129</v>
      </c>
      <c r="V10" s="22" t="s">
        <v>84</v>
      </c>
      <c r="W10" s="52" t="s">
        <v>112</v>
      </c>
      <c r="X10" s="12" t="s">
        <v>164</v>
      </c>
      <c r="Y10" s="60">
        <v>14</v>
      </c>
      <c r="Z10" s="54"/>
      <c r="AA10" s="54"/>
      <c r="AB10" s="59" t="s">
        <v>87</v>
      </c>
      <c r="AC10" s="12">
        <v>77312</v>
      </c>
      <c r="AD10" s="52" t="s">
        <v>88</v>
      </c>
      <c r="AE10" s="54"/>
      <c r="AF10" s="322" t="s">
        <v>165</v>
      </c>
      <c r="AG10" s="12" t="s">
        <v>166</v>
      </c>
      <c r="AH10" s="54"/>
      <c r="AI10" s="54"/>
      <c r="AJ10" s="107" t="s">
        <v>167</v>
      </c>
      <c r="AK10" s="325">
        <v>37459</v>
      </c>
      <c r="AL10" s="326" t="str">
        <f ca="1" t="shared" si="5"/>
        <v>23 Tahun 3 Bulan </v>
      </c>
      <c r="AM10" s="52" t="s">
        <v>92</v>
      </c>
      <c r="AN10" s="52" t="s">
        <v>93</v>
      </c>
      <c r="AO10" s="12" t="s">
        <v>168</v>
      </c>
      <c r="AP10" s="322" t="s">
        <v>169</v>
      </c>
      <c r="AQ10" s="12" t="s">
        <v>170</v>
      </c>
      <c r="AR10" s="281"/>
      <c r="AS10" s="12" t="s">
        <v>171</v>
      </c>
      <c r="AT10" s="281"/>
      <c r="AU10" s="54"/>
      <c r="AV10" s="12" t="s">
        <v>172</v>
      </c>
      <c r="AW10" s="107" t="s">
        <v>100</v>
      </c>
      <c r="AX10" s="339" t="s">
        <v>101</v>
      </c>
      <c r="AY10" s="12" t="s">
        <v>121</v>
      </c>
      <c r="AZ10" s="54"/>
      <c r="BA10" s="54"/>
      <c r="BB10" s="54"/>
      <c r="BC10" s="54"/>
      <c r="BD10" s="54"/>
      <c r="BE10" s="281"/>
      <c r="BF10" s="281"/>
      <c r="BG10" s="54"/>
      <c r="BH10" s="281" t="s">
        <v>105</v>
      </c>
      <c r="BI10" s="338" t="s">
        <v>88</v>
      </c>
      <c r="BJ10" s="338" t="s">
        <v>173</v>
      </c>
      <c r="BK10" s="552" t="s">
        <v>174</v>
      </c>
    </row>
    <row r="11" spans="1:63">
      <c r="A11" s="54">
        <v>6</v>
      </c>
      <c r="B11" s="54" t="s">
        <v>175</v>
      </c>
      <c r="C11" s="54" t="s">
        <v>75</v>
      </c>
      <c r="D11" s="54" t="s">
        <v>76</v>
      </c>
      <c r="E11" s="54" t="s">
        <v>77</v>
      </c>
      <c r="F11" s="54"/>
      <c r="G11" s="12" t="s">
        <v>176</v>
      </c>
      <c r="H11" s="54" t="s">
        <v>177</v>
      </c>
      <c r="I11" s="102" t="str">
        <f t="shared" si="0"/>
        <v>Ermi Wahyuni, S.Pd</v>
      </c>
      <c r="J11" s="12" t="s">
        <v>80</v>
      </c>
      <c r="K11" s="102" t="str">
        <f t="shared" si="1"/>
        <v>Perempuan</v>
      </c>
      <c r="L11" s="12" t="s">
        <v>75</v>
      </c>
      <c r="M11" s="104">
        <v>33258</v>
      </c>
      <c r="N11" s="304" t="str">
        <f ca="1" t="shared" si="2"/>
        <v>34 Tahun 9 Bulan </v>
      </c>
      <c r="O11" s="104">
        <v>33258</v>
      </c>
      <c r="P11" s="105">
        <f ca="1" t="shared" si="3"/>
        <v>34</v>
      </c>
      <c r="Q11" s="105" t="str">
        <f ca="1" t="shared" si="4"/>
        <v>OKE</v>
      </c>
      <c r="R11" s="551" t="s">
        <v>178</v>
      </c>
      <c r="S11" s="54"/>
      <c r="T11" s="54"/>
      <c r="U11" s="22" t="s">
        <v>83</v>
      </c>
      <c r="V11" s="22" t="s">
        <v>84</v>
      </c>
      <c r="W11" s="52" t="s">
        <v>112</v>
      </c>
      <c r="X11" s="12" t="s">
        <v>179</v>
      </c>
      <c r="Y11" s="60">
        <v>2</v>
      </c>
      <c r="Z11" s="54"/>
      <c r="AA11" s="54"/>
      <c r="AB11" s="59" t="s">
        <v>180</v>
      </c>
      <c r="AC11" s="12"/>
      <c r="AD11" s="52" t="s">
        <v>181</v>
      </c>
      <c r="AE11" s="54"/>
      <c r="AF11" s="322" t="s">
        <v>182</v>
      </c>
      <c r="AG11" s="12" t="s">
        <v>183</v>
      </c>
      <c r="AH11" s="54"/>
      <c r="AI11" s="54"/>
      <c r="AJ11" s="107" t="s">
        <v>184</v>
      </c>
      <c r="AK11" s="553" t="s">
        <v>185</v>
      </c>
      <c r="AL11" s="326" t="str">
        <f ca="1" t="shared" si="5"/>
        <v>11 Tahun 1 Bulan </v>
      </c>
      <c r="AM11" s="52" t="s">
        <v>92</v>
      </c>
      <c r="AN11" s="52" t="s">
        <v>93</v>
      </c>
      <c r="AO11" s="12" t="s">
        <v>186</v>
      </c>
      <c r="AP11" s="322" t="s">
        <v>95</v>
      </c>
      <c r="AQ11" s="12" t="s">
        <v>187</v>
      </c>
      <c r="AR11" s="281"/>
      <c r="AS11" s="12" t="s">
        <v>188</v>
      </c>
      <c r="AT11" s="281"/>
      <c r="AU11" s="54"/>
      <c r="AV11" s="12" t="s">
        <v>189</v>
      </c>
      <c r="AW11" s="107" t="s">
        <v>100</v>
      </c>
      <c r="AX11" s="339" t="s">
        <v>101</v>
      </c>
      <c r="AY11" s="271" t="s">
        <v>190</v>
      </c>
      <c r="AZ11" s="54"/>
      <c r="BA11" s="54"/>
      <c r="BB11" s="54"/>
      <c r="BC11" s="12" t="s">
        <v>191</v>
      </c>
      <c r="BD11" s="54"/>
      <c r="BE11" s="281">
        <v>34</v>
      </c>
      <c r="BF11" s="281">
        <v>34</v>
      </c>
      <c r="BG11" s="39" t="s">
        <v>190</v>
      </c>
      <c r="BH11" s="281" t="s">
        <v>105</v>
      </c>
      <c r="BI11" s="338" t="s">
        <v>88</v>
      </c>
      <c r="BJ11" s="338" t="s">
        <v>192</v>
      </c>
      <c r="BK11" s="554" t="s">
        <v>193</v>
      </c>
    </row>
    <row r="12" spans="1:63">
      <c r="A12" s="54">
        <v>7</v>
      </c>
      <c r="B12" s="54" t="s">
        <v>194</v>
      </c>
      <c r="C12" s="54" t="s">
        <v>75</v>
      </c>
      <c r="D12" s="54" t="s">
        <v>76</v>
      </c>
      <c r="E12" s="54" t="s">
        <v>77</v>
      </c>
      <c r="F12" s="54"/>
      <c r="G12" s="12" t="s">
        <v>195</v>
      </c>
      <c r="H12" s="54" t="s">
        <v>126</v>
      </c>
      <c r="I12" s="102" t="str">
        <f t="shared" si="0"/>
        <v>Ika Mayasari, S.ST</v>
      </c>
      <c r="J12" s="12" t="s">
        <v>80</v>
      </c>
      <c r="K12" s="102" t="str">
        <f t="shared" si="1"/>
        <v>Perempuan</v>
      </c>
      <c r="L12" s="12" t="s">
        <v>196</v>
      </c>
      <c r="M12" s="104">
        <v>32245</v>
      </c>
      <c r="N12" s="304" t="str">
        <f ca="1" t="shared" si="2"/>
        <v>37 Tahun 6 Bulan </v>
      </c>
      <c r="O12" s="104">
        <v>32245</v>
      </c>
      <c r="P12" s="105">
        <f ca="1" t="shared" si="3"/>
        <v>37</v>
      </c>
      <c r="Q12" s="105" t="str">
        <f ca="1" t="shared" si="4"/>
        <v>OKE</v>
      </c>
      <c r="R12" s="551" t="s">
        <v>197</v>
      </c>
      <c r="S12" s="54"/>
      <c r="T12" s="54"/>
      <c r="U12" s="22" t="s">
        <v>129</v>
      </c>
      <c r="V12" s="22" t="s">
        <v>84</v>
      </c>
      <c r="W12" s="52" t="s">
        <v>112</v>
      </c>
      <c r="X12" s="12" t="s">
        <v>198</v>
      </c>
      <c r="Y12" s="60">
        <v>6</v>
      </c>
      <c r="Z12" s="54"/>
      <c r="AA12" s="54"/>
      <c r="AB12" s="59" t="s">
        <v>88</v>
      </c>
      <c r="AC12" s="12">
        <v>77311</v>
      </c>
      <c r="AD12" s="52" t="s">
        <v>88</v>
      </c>
      <c r="AE12" s="54"/>
      <c r="AF12" s="322" t="s">
        <v>199</v>
      </c>
      <c r="AG12" s="12" t="s">
        <v>200</v>
      </c>
      <c r="AH12" s="54"/>
      <c r="AI12" s="54"/>
      <c r="AJ12" s="107" t="s">
        <v>201</v>
      </c>
      <c r="AK12" s="325">
        <v>42006</v>
      </c>
      <c r="AL12" s="326" t="str">
        <f ca="1" t="shared" si="5"/>
        <v>10 Tahun 10 Bulan </v>
      </c>
      <c r="AM12" s="52" t="s">
        <v>92</v>
      </c>
      <c r="AN12" s="52" t="s">
        <v>93</v>
      </c>
      <c r="AO12" s="12" t="s">
        <v>202</v>
      </c>
      <c r="AP12" s="322" t="s">
        <v>95</v>
      </c>
      <c r="AQ12" s="12" t="s">
        <v>203</v>
      </c>
      <c r="AR12" s="281"/>
      <c r="AS12" s="12" t="s">
        <v>188</v>
      </c>
      <c r="AT12" s="281"/>
      <c r="AU12" s="54"/>
      <c r="AV12" s="12" t="s">
        <v>156</v>
      </c>
      <c r="AW12" s="107" t="s">
        <v>100</v>
      </c>
      <c r="AX12" s="339" t="s">
        <v>101</v>
      </c>
      <c r="AY12" s="271" t="s">
        <v>204</v>
      </c>
      <c r="AZ12" s="54"/>
      <c r="BA12" s="54"/>
      <c r="BB12" s="54"/>
      <c r="BC12" s="54"/>
      <c r="BD12" s="54"/>
      <c r="BE12" s="281"/>
      <c r="BF12" s="281"/>
      <c r="BG12" s="54"/>
      <c r="BH12" s="281" t="s">
        <v>105</v>
      </c>
      <c r="BI12" s="338" t="s">
        <v>88</v>
      </c>
      <c r="BJ12" s="338" t="s">
        <v>205</v>
      </c>
      <c r="BK12" s="554" t="s">
        <v>206</v>
      </c>
    </row>
    <row r="13" spans="1:63">
      <c r="A13" s="54">
        <v>8</v>
      </c>
      <c r="B13" s="54" t="s">
        <v>207</v>
      </c>
      <c r="C13" s="54" t="s">
        <v>75</v>
      </c>
      <c r="D13" s="54" t="s">
        <v>76</v>
      </c>
      <c r="E13" s="54" t="s">
        <v>77</v>
      </c>
      <c r="F13" s="54"/>
      <c r="G13" s="12" t="s">
        <v>208</v>
      </c>
      <c r="H13" s="54"/>
      <c r="I13" s="102" t="str">
        <f t="shared" si="0"/>
        <v>Isdaniah</v>
      </c>
      <c r="J13" s="12" t="s">
        <v>80</v>
      </c>
      <c r="K13" s="102" t="str">
        <f t="shared" si="1"/>
        <v>Perempuan</v>
      </c>
      <c r="L13" s="12" t="s">
        <v>209</v>
      </c>
      <c r="M13" s="104">
        <v>28057</v>
      </c>
      <c r="N13" s="304" t="str">
        <f ca="1" t="shared" si="2"/>
        <v>49 Tahun 0 Bulan </v>
      </c>
      <c r="O13" s="104">
        <v>28057</v>
      </c>
      <c r="P13" s="105">
        <f ca="1" t="shared" si="3"/>
        <v>49</v>
      </c>
      <c r="Q13" s="105" t="str">
        <f ca="1" t="shared" si="4"/>
        <v>OKE</v>
      </c>
      <c r="R13" s="551" t="s">
        <v>210</v>
      </c>
      <c r="S13" s="54"/>
      <c r="T13" s="54"/>
      <c r="U13" s="22" t="s">
        <v>111</v>
      </c>
      <c r="V13" s="22" t="s">
        <v>84</v>
      </c>
      <c r="W13" s="52" t="s">
        <v>112</v>
      </c>
      <c r="X13" s="12" t="s">
        <v>211</v>
      </c>
      <c r="Y13" s="60">
        <v>16</v>
      </c>
      <c r="Z13" s="54"/>
      <c r="AA13" s="54"/>
      <c r="AB13" s="59" t="s">
        <v>212</v>
      </c>
      <c r="AC13" s="12">
        <v>77311</v>
      </c>
      <c r="AD13" s="52" t="s">
        <v>88</v>
      </c>
      <c r="AE13" s="54"/>
      <c r="AF13" s="322" t="s">
        <v>213</v>
      </c>
      <c r="AG13" s="12" t="s">
        <v>90</v>
      </c>
      <c r="AH13" s="54"/>
      <c r="AI13" s="54"/>
      <c r="AJ13" s="107" t="s">
        <v>214</v>
      </c>
      <c r="AK13" s="553" t="s">
        <v>215</v>
      </c>
      <c r="AL13" s="326" t="str">
        <f ca="1" t="shared" si="5"/>
        <v>17 Tahun 10 Bulan </v>
      </c>
      <c r="AM13" s="52" t="s">
        <v>136</v>
      </c>
      <c r="AN13" s="52" t="s">
        <v>93</v>
      </c>
      <c r="AO13" s="12" t="s">
        <v>216</v>
      </c>
      <c r="AP13" s="322" t="s">
        <v>95</v>
      </c>
      <c r="AQ13" s="12" t="s">
        <v>217</v>
      </c>
      <c r="AR13" s="281" t="s">
        <v>218</v>
      </c>
      <c r="AS13" s="12" t="s">
        <v>98</v>
      </c>
      <c r="AT13" s="281"/>
      <c r="AU13" s="54"/>
      <c r="AV13" s="12" t="s">
        <v>219</v>
      </c>
      <c r="AW13" s="107" t="s">
        <v>100</v>
      </c>
      <c r="AX13" s="337" t="s">
        <v>120</v>
      </c>
      <c r="AY13" s="271" t="s">
        <v>121</v>
      </c>
      <c r="AZ13" s="54"/>
      <c r="BA13" s="54"/>
      <c r="BB13" s="54"/>
      <c r="BC13" s="54"/>
      <c r="BD13" s="54"/>
      <c r="BE13" s="281"/>
      <c r="BF13" s="281"/>
      <c r="BG13" s="54"/>
      <c r="BH13" s="281" t="s">
        <v>105</v>
      </c>
      <c r="BI13" s="338" t="s">
        <v>88</v>
      </c>
      <c r="BJ13" s="338" t="s">
        <v>220</v>
      </c>
      <c r="BK13" s="552" t="s">
        <v>221</v>
      </c>
    </row>
    <row r="14" spans="1:63">
      <c r="A14" s="54">
        <v>9</v>
      </c>
      <c r="B14" s="54" t="s">
        <v>222</v>
      </c>
      <c r="C14" s="54" t="s">
        <v>75</v>
      </c>
      <c r="D14" s="54" t="s">
        <v>76</v>
      </c>
      <c r="E14" s="54" t="s">
        <v>77</v>
      </c>
      <c r="F14" s="54"/>
      <c r="G14" s="12" t="s">
        <v>223</v>
      </c>
      <c r="H14" s="54"/>
      <c r="I14" s="102" t="str">
        <f t="shared" si="0"/>
        <v>Jamir Hamdiah</v>
      </c>
      <c r="J14" s="12" t="s">
        <v>127</v>
      </c>
      <c r="K14" s="102" t="str">
        <f t="shared" si="1"/>
        <v>Laki-laki</v>
      </c>
      <c r="L14" s="12" t="s">
        <v>224</v>
      </c>
      <c r="M14" s="104">
        <v>30331</v>
      </c>
      <c r="N14" s="304" t="str">
        <f ca="1" t="shared" si="2"/>
        <v>42 Tahun 9 Bulan </v>
      </c>
      <c r="O14" s="104">
        <v>30331</v>
      </c>
      <c r="P14" s="105">
        <f ca="1" t="shared" si="3"/>
        <v>42</v>
      </c>
      <c r="Q14" s="105" t="str">
        <f ca="1" t="shared" si="4"/>
        <v>OKE</v>
      </c>
      <c r="R14" s="551" t="s">
        <v>225</v>
      </c>
      <c r="S14" s="54"/>
      <c r="T14" s="54"/>
      <c r="U14" s="22" t="s">
        <v>129</v>
      </c>
      <c r="V14" s="22" t="s">
        <v>84</v>
      </c>
      <c r="W14" s="52" t="s">
        <v>112</v>
      </c>
      <c r="X14" s="12" t="s">
        <v>226</v>
      </c>
      <c r="Y14" s="60">
        <v>5</v>
      </c>
      <c r="Z14" s="54"/>
      <c r="AA14" s="54"/>
      <c r="AB14" s="59" t="s">
        <v>209</v>
      </c>
      <c r="AC14" s="12">
        <v>77352</v>
      </c>
      <c r="AD14" s="52" t="s">
        <v>209</v>
      </c>
      <c r="AE14" s="54"/>
      <c r="AF14" s="322" t="s">
        <v>227</v>
      </c>
      <c r="AG14" s="12" t="s">
        <v>228</v>
      </c>
      <c r="AH14" s="54"/>
      <c r="AI14" s="54"/>
      <c r="AJ14" s="107" t="s">
        <v>229</v>
      </c>
      <c r="AK14" s="325">
        <v>38556</v>
      </c>
      <c r="AL14" s="326" t="str">
        <f ca="1" t="shared" si="5"/>
        <v>20 Tahun 3 Bulan </v>
      </c>
      <c r="AM14" s="52" t="s">
        <v>92</v>
      </c>
      <c r="AN14" s="52" t="s">
        <v>93</v>
      </c>
      <c r="AO14" s="12" t="s">
        <v>230</v>
      </c>
      <c r="AP14" s="322" t="s">
        <v>95</v>
      </c>
      <c r="AQ14" s="12" t="s">
        <v>231</v>
      </c>
      <c r="AR14" s="281"/>
      <c r="AS14" s="12" t="s">
        <v>232</v>
      </c>
      <c r="AT14" s="281"/>
      <c r="AU14" s="54"/>
      <c r="AV14" s="12" t="s">
        <v>233</v>
      </c>
      <c r="AW14" s="107" t="s">
        <v>100</v>
      </c>
      <c r="AX14" s="337" t="s">
        <v>120</v>
      </c>
      <c r="AY14" s="338" t="s">
        <v>234</v>
      </c>
      <c r="AZ14" s="54"/>
      <c r="BA14" s="54"/>
      <c r="BB14" s="39" t="s">
        <v>235</v>
      </c>
      <c r="BC14" s="54"/>
      <c r="BD14" s="54"/>
      <c r="BE14" s="281"/>
      <c r="BF14" s="281"/>
      <c r="BG14" s="54"/>
      <c r="BH14" s="281" t="s">
        <v>105</v>
      </c>
      <c r="BI14" s="338" t="s">
        <v>209</v>
      </c>
      <c r="BJ14" s="338" t="s">
        <v>236</v>
      </c>
      <c r="BK14" s="552" t="s">
        <v>237</v>
      </c>
    </row>
    <row r="15" spans="1:63">
      <c r="A15" s="54">
        <v>10</v>
      </c>
      <c r="B15" s="54" t="s">
        <v>238</v>
      </c>
      <c r="C15" s="54" t="s">
        <v>75</v>
      </c>
      <c r="D15" s="54" t="s">
        <v>76</v>
      </c>
      <c r="E15" s="54" t="s">
        <v>77</v>
      </c>
      <c r="F15" s="54"/>
      <c r="G15" s="12" t="s">
        <v>239</v>
      </c>
      <c r="H15" s="54" t="s">
        <v>161</v>
      </c>
      <c r="I15" s="102" t="str">
        <f t="shared" si="0"/>
        <v>M. Alik Wahyudi, SE</v>
      </c>
      <c r="J15" s="12" t="s">
        <v>127</v>
      </c>
      <c r="K15" s="102" t="str">
        <f t="shared" si="1"/>
        <v>Laki-laki</v>
      </c>
      <c r="L15" s="12" t="s">
        <v>240</v>
      </c>
      <c r="M15" s="104">
        <v>32865</v>
      </c>
      <c r="N15" s="304" t="str">
        <f ca="1" t="shared" si="2"/>
        <v>35 Tahun 10 Bulan </v>
      </c>
      <c r="O15" s="104">
        <v>32865</v>
      </c>
      <c r="P15" s="105">
        <f ca="1" t="shared" si="3"/>
        <v>35</v>
      </c>
      <c r="Q15" s="105" t="str">
        <f ca="1" t="shared" si="4"/>
        <v>OKE</v>
      </c>
      <c r="R15" s="551" t="s">
        <v>241</v>
      </c>
      <c r="S15" s="54"/>
      <c r="T15" s="54"/>
      <c r="U15" s="22" t="s">
        <v>129</v>
      </c>
      <c r="V15" s="22" t="s">
        <v>84</v>
      </c>
      <c r="W15" s="52" t="s">
        <v>112</v>
      </c>
      <c r="X15" s="12" t="s">
        <v>242</v>
      </c>
      <c r="Y15" s="60">
        <v>24</v>
      </c>
      <c r="Z15" s="54"/>
      <c r="AA15" s="54"/>
      <c r="AB15" s="59" t="s">
        <v>88</v>
      </c>
      <c r="AC15" s="12">
        <v>77311</v>
      </c>
      <c r="AD15" s="52" t="s">
        <v>88</v>
      </c>
      <c r="AE15" s="54"/>
      <c r="AF15" s="322" t="s">
        <v>243</v>
      </c>
      <c r="AG15" s="12" t="s">
        <v>244</v>
      </c>
      <c r="AH15" s="54"/>
      <c r="AI15" s="54"/>
      <c r="AJ15" s="107" t="s">
        <v>245</v>
      </c>
      <c r="AK15" s="325">
        <v>39286</v>
      </c>
      <c r="AL15" s="326" t="str">
        <f ca="1" t="shared" si="5"/>
        <v>18 Tahun 3 Bulan </v>
      </c>
      <c r="AM15" s="52" t="s">
        <v>92</v>
      </c>
      <c r="AN15" s="52" t="s">
        <v>93</v>
      </c>
      <c r="AO15" s="12" t="s">
        <v>246</v>
      </c>
      <c r="AP15" s="322" t="s">
        <v>95</v>
      </c>
      <c r="AQ15" s="12" t="s">
        <v>247</v>
      </c>
      <c r="AR15" s="281"/>
      <c r="AS15" s="12" t="s">
        <v>155</v>
      </c>
      <c r="AT15" s="281"/>
      <c r="AU15" s="54"/>
      <c r="AV15" s="12" t="s">
        <v>248</v>
      </c>
      <c r="AW15" s="107" t="s">
        <v>100</v>
      </c>
      <c r="AX15" s="339" t="s">
        <v>101</v>
      </c>
      <c r="AY15" s="12" t="s">
        <v>121</v>
      </c>
      <c r="AZ15" s="54"/>
      <c r="BA15" s="54"/>
      <c r="BB15" s="54"/>
      <c r="BC15" s="54"/>
      <c r="BD15" s="54"/>
      <c r="BE15" s="281"/>
      <c r="BF15" s="281"/>
      <c r="BG15" s="54"/>
      <c r="BH15" s="281" t="s">
        <v>105</v>
      </c>
      <c r="BI15" s="338" t="s">
        <v>88</v>
      </c>
      <c r="BJ15" s="338" t="s">
        <v>249</v>
      </c>
      <c r="BK15" s="552" t="s">
        <v>250</v>
      </c>
    </row>
    <row r="16" spans="1:63">
      <c r="A16" s="54">
        <v>11</v>
      </c>
      <c r="B16" s="54" t="s">
        <v>251</v>
      </c>
      <c r="C16" s="54" t="s">
        <v>75</v>
      </c>
      <c r="D16" s="54" t="s">
        <v>76</v>
      </c>
      <c r="E16" s="54" t="s">
        <v>77</v>
      </c>
      <c r="F16" s="54"/>
      <c r="G16" s="12" t="s">
        <v>252</v>
      </c>
      <c r="H16" s="54" t="s">
        <v>253</v>
      </c>
      <c r="I16" s="102" t="str">
        <f t="shared" si="0"/>
        <v>Muhammad Rusdi, S.T, S.Pd</v>
      </c>
      <c r="J16" s="12" t="s">
        <v>127</v>
      </c>
      <c r="K16" s="102" t="str">
        <f t="shared" si="1"/>
        <v>Laki-laki</v>
      </c>
      <c r="L16" s="12" t="s">
        <v>254</v>
      </c>
      <c r="M16" s="104">
        <v>26527</v>
      </c>
      <c r="N16" s="304" t="str">
        <f ca="1" t="shared" si="2"/>
        <v>53 Tahun 2 Bulan </v>
      </c>
      <c r="O16" s="104">
        <v>26527</v>
      </c>
      <c r="P16" s="105">
        <f ca="1" t="shared" si="3"/>
        <v>53</v>
      </c>
      <c r="Q16" s="105" t="str">
        <f ca="1" t="shared" si="4"/>
        <v>OKE</v>
      </c>
      <c r="R16" s="551" t="s">
        <v>255</v>
      </c>
      <c r="S16" s="54"/>
      <c r="T16" s="54"/>
      <c r="U16" s="22" t="s">
        <v>83</v>
      </c>
      <c r="V16" s="22" t="s">
        <v>84</v>
      </c>
      <c r="W16" s="52" t="s">
        <v>112</v>
      </c>
      <c r="X16" s="12" t="s">
        <v>256</v>
      </c>
      <c r="Y16" s="60">
        <v>4</v>
      </c>
      <c r="Z16" s="54"/>
      <c r="AA16" s="54"/>
      <c r="AB16" s="59" t="s">
        <v>88</v>
      </c>
      <c r="AC16" s="12">
        <v>77311</v>
      </c>
      <c r="AD16" s="52" t="s">
        <v>88</v>
      </c>
      <c r="AE16" s="54"/>
      <c r="AF16" s="322" t="s">
        <v>257</v>
      </c>
      <c r="AG16" s="12" t="s">
        <v>258</v>
      </c>
      <c r="AH16" s="54"/>
      <c r="AI16" s="54"/>
      <c r="AJ16" s="107" t="s">
        <v>259</v>
      </c>
      <c r="AK16" s="553" t="s">
        <v>260</v>
      </c>
      <c r="AL16" s="326" t="str">
        <f ca="1" t="shared" si="5"/>
        <v>14 Tahun 10 Bulan </v>
      </c>
      <c r="AM16" s="52" t="s">
        <v>92</v>
      </c>
      <c r="AN16" s="52" t="s">
        <v>93</v>
      </c>
      <c r="AO16" s="12" t="s">
        <v>261</v>
      </c>
      <c r="AP16" s="322" t="s">
        <v>95</v>
      </c>
      <c r="AQ16" s="12" t="s">
        <v>262</v>
      </c>
      <c r="AR16" s="281" t="s">
        <v>263</v>
      </c>
      <c r="AS16" s="12" t="s">
        <v>98</v>
      </c>
      <c r="AT16" s="281"/>
      <c r="AU16" s="54"/>
      <c r="AV16" s="12" t="s">
        <v>264</v>
      </c>
      <c r="AW16" s="107" t="s">
        <v>100</v>
      </c>
      <c r="AX16" s="339" t="s">
        <v>101</v>
      </c>
      <c r="AY16" s="271" t="s">
        <v>265</v>
      </c>
      <c r="AZ16" s="54"/>
      <c r="BA16" s="54"/>
      <c r="BB16" s="39" t="s">
        <v>235</v>
      </c>
      <c r="BC16" s="12" t="s">
        <v>266</v>
      </c>
      <c r="BD16" s="54"/>
      <c r="BE16" s="281">
        <v>22</v>
      </c>
      <c r="BF16" s="281">
        <v>22</v>
      </c>
      <c r="BG16" s="54" t="s">
        <v>267</v>
      </c>
      <c r="BH16" s="281" t="s">
        <v>105</v>
      </c>
      <c r="BI16" s="338" t="s">
        <v>88</v>
      </c>
      <c r="BJ16" s="338" t="s">
        <v>268</v>
      </c>
      <c r="BK16" s="554" t="s">
        <v>269</v>
      </c>
    </row>
    <row r="17" spans="1:63">
      <c r="A17" s="54">
        <v>12</v>
      </c>
      <c r="B17" s="54" t="s">
        <v>270</v>
      </c>
      <c r="C17" s="54" t="s">
        <v>75</v>
      </c>
      <c r="D17" s="54" t="s">
        <v>76</v>
      </c>
      <c r="E17" s="54" t="s">
        <v>77</v>
      </c>
      <c r="F17" s="54"/>
      <c r="G17" s="12" t="s">
        <v>271</v>
      </c>
      <c r="H17" s="54"/>
      <c r="I17" s="102" t="str">
        <f t="shared" si="0"/>
        <v>Mulyadi Alyas</v>
      </c>
      <c r="J17" s="12" t="s">
        <v>127</v>
      </c>
      <c r="K17" s="102" t="str">
        <f t="shared" si="1"/>
        <v>Laki-laki</v>
      </c>
      <c r="L17" s="12" t="s">
        <v>272</v>
      </c>
      <c r="M17" s="104">
        <v>26739</v>
      </c>
      <c r="N17" s="304" t="str">
        <f ca="1" t="shared" si="2"/>
        <v>52 Tahun 7 Bulan </v>
      </c>
      <c r="O17" s="104">
        <v>26739</v>
      </c>
      <c r="P17" s="105">
        <f ca="1" t="shared" si="3"/>
        <v>52</v>
      </c>
      <c r="Q17" s="105" t="str">
        <f ca="1" t="shared" si="4"/>
        <v>OKE</v>
      </c>
      <c r="R17" s="551" t="s">
        <v>273</v>
      </c>
      <c r="S17" s="54"/>
      <c r="T17" s="54"/>
      <c r="U17" s="22" t="s">
        <v>274</v>
      </c>
      <c r="V17" s="22" t="s">
        <v>84</v>
      </c>
      <c r="W17" s="52" t="s">
        <v>112</v>
      </c>
      <c r="X17" s="12" t="s">
        <v>275</v>
      </c>
      <c r="Y17" s="60">
        <v>7</v>
      </c>
      <c r="Z17" s="54"/>
      <c r="AA17" s="54"/>
      <c r="AB17" s="59" t="s">
        <v>276</v>
      </c>
      <c r="AC17" s="12">
        <v>77311</v>
      </c>
      <c r="AD17" s="52" t="s">
        <v>88</v>
      </c>
      <c r="AE17" s="54"/>
      <c r="AF17" s="322" t="s">
        <v>277</v>
      </c>
      <c r="AG17" s="12" t="s">
        <v>90</v>
      </c>
      <c r="AH17" s="54"/>
      <c r="AI17" s="54"/>
      <c r="AJ17" s="107" t="s">
        <v>278</v>
      </c>
      <c r="AK17" s="325">
        <v>41276</v>
      </c>
      <c r="AL17" s="326" t="str">
        <f ca="1" t="shared" si="5"/>
        <v>12 Tahun 10 Bulan </v>
      </c>
      <c r="AM17" s="52" t="s">
        <v>136</v>
      </c>
      <c r="AN17" s="52" t="s">
        <v>93</v>
      </c>
      <c r="AO17" s="12" t="s">
        <v>279</v>
      </c>
      <c r="AP17" s="322" t="s">
        <v>95</v>
      </c>
      <c r="AQ17" s="12" t="s">
        <v>280</v>
      </c>
      <c r="AR17" s="281"/>
      <c r="AS17" s="12" t="s">
        <v>155</v>
      </c>
      <c r="AT17" s="281"/>
      <c r="AU17" s="54"/>
      <c r="AV17" s="271" t="s">
        <v>281</v>
      </c>
      <c r="AW17" s="107" t="s">
        <v>100</v>
      </c>
      <c r="AX17" s="337" t="s">
        <v>120</v>
      </c>
      <c r="AY17" s="271" t="s">
        <v>234</v>
      </c>
      <c r="AZ17" s="54"/>
      <c r="BA17" s="54"/>
      <c r="BB17" s="54"/>
      <c r="BC17" s="54"/>
      <c r="BD17" s="54"/>
      <c r="BE17" s="281"/>
      <c r="BF17" s="281"/>
      <c r="BG17" s="54"/>
      <c r="BH17" s="281" t="s">
        <v>105</v>
      </c>
      <c r="BI17" s="338" t="s">
        <v>88</v>
      </c>
      <c r="BJ17" s="338" t="s">
        <v>282</v>
      </c>
      <c r="BK17" s="552" t="s">
        <v>283</v>
      </c>
    </row>
    <row r="18" s="1" customFormat="1" spans="1:64">
      <c r="A18" s="54">
        <v>13</v>
      </c>
      <c r="B18" s="49">
        <v>4881</v>
      </c>
      <c r="C18" s="50" t="s">
        <v>284</v>
      </c>
      <c r="D18" s="51" t="s">
        <v>76</v>
      </c>
      <c r="E18" s="52" t="s">
        <v>285</v>
      </c>
      <c r="F18" s="281"/>
      <c r="G18" s="12" t="s">
        <v>286</v>
      </c>
      <c r="H18" s="52" t="s">
        <v>287</v>
      </c>
      <c r="I18" s="50" t="str">
        <f t="shared" si="0"/>
        <v>Benyamin Sira, A.Md</v>
      </c>
      <c r="J18" s="51" t="s">
        <v>127</v>
      </c>
      <c r="K18" s="102" t="str">
        <f t="shared" si="1"/>
        <v>Laki-laki</v>
      </c>
      <c r="L18" s="112" t="s">
        <v>131</v>
      </c>
      <c r="M18" s="305">
        <v>30889</v>
      </c>
      <c r="N18" s="119" t="str">
        <f ca="1" t="shared" si="2"/>
        <v>41 Tahun 3 Bulan </v>
      </c>
      <c r="O18" s="305">
        <v>30889</v>
      </c>
      <c r="P18" s="52">
        <f ca="1" t="shared" si="3"/>
        <v>41</v>
      </c>
      <c r="Q18" s="52" t="str">
        <f ca="1" t="shared" si="4"/>
        <v>OKE</v>
      </c>
      <c r="R18" s="12" t="s">
        <v>288</v>
      </c>
      <c r="S18" s="281"/>
      <c r="T18" s="60" t="s">
        <v>289</v>
      </c>
      <c r="U18" s="108" t="s">
        <v>129</v>
      </c>
      <c r="V18" s="12" t="s">
        <v>290</v>
      </c>
      <c r="W18" s="59" t="s">
        <v>112</v>
      </c>
      <c r="X18" s="12" t="s">
        <v>291</v>
      </c>
      <c r="Y18" s="12">
        <v>32</v>
      </c>
      <c r="Z18" s="12">
        <v>0</v>
      </c>
      <c r="AA18" s="281"/>
      <c r="AB18" s="59" t="s">
        <v>88</v>
      </c>
      <c r="AC18" s="108">
        <v>77315</v>
      </c>
      <c r="AD18" s="193" t="s">
        <v>292</v>
      </c>
      <c r="AE18" s="12"/>
      <c r="AF18" s="12" t="s">
        <v>293</v>
      </c>
      <c r="AG18" s="12" t="s">
        <v>294</v>
      </c>
      <c r="AH18" s="53"/>
      <c r="AI18" s="53"/>
      <c r="AJ18" s="12" t="s">
        <v>295</v>
      </c>
      <c r="AK18" s="222">
        <v>39630</v>
      </c>
      <c r="AL18" s="119" t="str">
        <f ca="1" t="shared" si="5"/>
        <v>17 Tahun 4 Bulan </v>
      </c>
      <c r="AM18" s="12" t="s">
        <v>92</v>
      </c>
      <c r="AN18" s="215" t="s">
        <v>93</v>
      </c>
      <c r="AO18" s="59" t="s">
        <v>296</v>
      </c>
      <c r="AP18" s="59" t="s">
        <v>297</v>
      </c>
      <c r="AQ18" s="59"/>
      <c r="AR18" s="12"/>
      <c r="AS18" s="59" t="s">
        <v>232</v>
      </c>
      <c r="AT18" s="281"/>
      <c r="AU18" s="108" t="s">
        <v>298</v>
      </c>
      <c r="AV18" s="12"/>
      <c r="AW18" s="12" t="s">
        <v>100</v>
      </c>
      <c r="AX18" s="55" t="s">
        <v>299</v>
      </c>
      <c r="AY18" s="12" t="s">
        <v>300</v>
      </c>
      <c r="AZ18" s="12"/>
      <c r="BA18" s="53"/>
      <c r="BB18" s="12"/>
      <c r="BC18" s="12"/>
      <c r="BD18" s="12"/>
      <c r="BE18" s="12"/>
      <c r="BF18" s="12"/>
      <c r="BG18" s="12"/>
      <c r="BH18" s="49" t="s">
        <v>301</v>
      </c>
      <c r="BI18" s="51" t="s">
        <v>75</v>
      </c>
      <c r="BJ18" s="12" t="s">
        <v>286</v>
      </c>
      <c r="BK18" s="555" t="s">
        <v>302</v>
      </c>
      <c r="BL18" s="284"/>
    </row>
    <row r="19" s="1" customFormat="1" spans="1:64">
      <c r="A19" s="54">
        <v>14</v>
      </c>
      <c r="B19" s="49">
        <v>4870</v>
      </c>
      <c r="C19" s="50" t="s">
        <v>284</v>
      </c>
      <c r="D19" s="58" t="s">
        <v>76</v>
      </c>
      <c r="E19" s="50" t="s">
        <v>285</v>
      </c>
      <c r="F19" s="53"/>
      <c r="G19" s="12" t="s">
        <v>303</v>
      </c>
      <c r="H19" s="50" t="s">
        <v>177</v>
      </c>
      <c r="I19" s="50" t="str">
        <f t="shared" si="0"/>
        <v>Betty Tresna Dewi, S.Pd</v>
      </c>
      <c r="J19" s="51" t="s">
        <v>80</v>
      </c>
      <c r="K19" s="102" t="str">
        <f t="shared" si="1"/>
        <v>Perempuan</v>
      </c>
      <c r="L19" s="112" t="s">
        <v>209</v>
      </c>
      <c r="M19" s="305">
        <v>33876</v>
      </c>
      <c r="N19" s="119" t="str">
        <f ca="1" t="shared" si="2"/>
        <v>33 Tahun 1 Bulan </v>
      </c>
      <c r="O19" s="306" t="str">
        <f t="shared" ref="O19:O30" si="6">TEXT(M19,"DD MMMM YYYY")</f>
        <v>29 September 1992</v>
      </c>
      <c r="P19" s="52">
        <f ca="1" t="shared" ref="P19:P82" si="7">+DATEDIF(O19,NOW(),"Y")</f>
        <v>33</v>
      </c>
      <c r="Q19" s="52" t="str">
        <f ca="1" t="shared" ref="Q19:Q82" si="8">IF(P19&gt;56,"Lewat","OKE")</f>
        <v>OKE</v>
      </c>
      <c r="R19" s="12" t="s">
        <v>304</v>
      </c>
      <c r="S19" s="53"/>
      <c r="T19" s="60"/>
      <c r="U19" s="108" t="s">
        <v>83</v>
      </c>
      <c r="V19" s="12" t="s">
        <v>290</v>
      </c>
      <c r="W19" s="59" t="s">
        <v>112</v>
      </c>
      <c r="X19" s="12" t="s">
        <v>305</v>
      </c>
      <c r="Y19" s="12">
        <v>24</v>
      </c>
      <c r="Z19" s="12">
        <v>0</v>
      </c>
      <c r="AA19" s="53"/>
      <c r="AB19" s="59" t="s">
        <v>88</v>
      </c>
      <c r="AC19" s="108">
        <v>77311</v>
      </c>
      <c r="AD19" s="193" t="s">
        <v>292</v>
      </c>
      <c r="AE19" s="12"/>
      <c r="AF19" s="12" t="s">
        <v>306</v>
      </c>
      <c r="AG19" s="212" t="s">
        <v>307</v>
      </c>
      <c r="AH19" s="53"/>
      <c r="AI19" s="53"/>
      <c r="AJ19" s="12" t="s">
        <v>308</v>
      </c>
      <c r="AK19" s="222">
        <v>41821</v>
      </c>
      <c r="AL19" s="119" t="str">
        <f ca="1" t="shared" si="5"/>
        <v>11 Tahun 4 Bulan </v>
      </c>
      <c r="AM19" s="12" t="s">
        <v>309</v>
      </c>
      <c r="AN19" s="215" t="s">
        <v>93</v>
      </c>
      <c r="AO19" s="59" t="s">
        <v>310</v>
      </c>
      <c r="AP19" s="59" t="s">
        <v>95</v>
      </c>
      <c r="AQ19" s="59" t="s">
        <v>311</v>
      </c>
      <c r="AR19" s="12"/>
      <c r="AS19" s="59" t="s">
        <v>155</v>
      </c>
      <c r="AT19" s="53"/>
      <c r="AU19" s="108" t="s">
        <v>298</v>
      </c>
      <c r="AV19" s="12" t="s">
        <v>312</v>
      </c>
      <c r="AW19" s="12" t="s">
        <v>100</v>
      </c>
      <c r="AX19" s="55" t="s">
        <v>101</v>
      </c>
      <c r="AY19" s="12" t="s">
        <v>313</v>
      </c>
      <c r="AZ19" s="12"/>
      <c r="BA19" s="53"/>
      <c r="BB19" s="12"/>
      <c r="BC19" s="12" t="s">
        <v>313</v>
      </c>
      <c r="BD19" s="12"/>
      <c r="BE19" s="12">
        <v>28</v>
      </c>
      <c r="BF19" s="12">
        <v>28</v>
      </c>
      <c r="BG19" s="12" t="s">
        <v>313</v>
      </c>
      <c r="BH19" s="49" t="s">
        <v>301</v>
      </c>
      <c r="BI19" s="58" t="s">
        <v>75</v>
      </c>
      <c r="BJ19" s="12" t="s">
        <v>303</v>
      </c>
      <c r="BK19" s="49" t="s">
        <v>314</v>
      </c>
      <c r="BL19" s="284"/>
    </row>
    <row r="20" s="1" customFormat="1" spans="1:64">
      <c r="A20" s="54">
        <v>15</v>
      </c>
      <c r="B20" s="49">
        <v>4871</v>
      </c>
      <c r="C20" s="50" t="s">
        <v>284</v>
      </c>
      <c r="D20" s="51" t="s">
        <v>76</v>
      </c>
      <c r="E20" s="52" t="s">
        <v>285</v>
      </c>
      <c r="F20" s="53"/>
      <c r="G20" s="12" t="s">
        <v>315</v>
      </c>
      <c r="H20" s="50" t="s">
        <v>177</v>
      </c>
      <c r="I20" s="50" t="str">
        <f t="shared" si="0"/>
        <v>Diah Nuraini, S.Pd</v>
      </c>
      <c r="J20" s="51" t="s">
        <v>80</v>
      </c>
      <c r="K20" s="102" t="str">
        <f t="shared" si="1"/>
        <v>Perempuan</v>
      </c>
      <c r="L20" s="112" t="s">
        <v>316</v>
      </c>
      <c r="M20" s="305">
        <v>29882</v>
      </c>
      <c r="N20" s="119" t="str">
        <f ca="1" t="shared" si="2"/>
        <v>44 Tahun 0 Bulan </v>
      </c>
      <c r="O20" s="305">
        <v>29882</v>
      </c>
      <c r="P20" s="52">
        <f ca="1" t="shared" si="7"/>
        <v>44</v>
      </c>
      <c r="Q20" s="52" t="str">
        <f ca="1" t="shared" si="8"/>
        <v>OKE</v>
      </c>
      <c r="R20" s="12" t="s">
        <v>317</v>
      </c>
      <c r="S20" s="53"/>
      <c r="T20" s="60" t="s">
        <v>318</v>
      </c>
      <c r="U20" s="108" t="s">
        <v>83</v>
      </c>
      <c r="V20" s="12" t="s">
        <v>290</v>
      </c>
      <c r="W20" s="59" t="s">
        <v>112</v>
      </c>
      <c r="X20" s="12" t="s">
        <v>319</v>
      </c>
      <c r="Y20" s="12">
        <v>7</v>
      </c>
      <c r="Z20" s="12">
        <v>0</v>
      </c>
      <c r="AA20" s="53"/>
      <c r="AB20" s="59" t="s">
        <v>320</v>
      </c>
      <c r="AC20" s="108">
        <v>77313</v>
      </c>
      <c r="AD20" s="193" t="s">
        <v>321</v>
      </c>
      <c r="AE20" s="12"/>
      <c r="AF20" s="12" t="s">
        <v>322</v>
      </c>
      <c r="AG20" s="213" t="s">
        <v>323</v>
      </c>
      <c r="AH20" s="53"/>
      <c r="AI20" s="53"/>
      <c r="AJ20" s="12" t="s">
        <v>324</v>
      </c>
      <c r="AK20" s="222">
        <v>38899</v>
      </c>
      <c r="AL20" s="119" t="str">
        <f ca="1" t="shared" si="5"/>
        <v>19 Tahun 4 Bulan </v>
      </c>
      <c r="AM20" s="12" t="s">
        <v>309</v>
      </c>
      <c r="AN20" s="215" t="s">
        <v>93</v>
      </c>
      <c r="AO20" s="59" t="s">
        <v>325</v>
      </c>
      <c r="AP20" s="59" t="s">
        <v>95</v>
      </c>
      <c r="AQ20" s="59" t="s">
        <v>326</v>
      </c>
      <c r="AR20" s="12" t="s">
        <v>327</v>
      </c>
      <c r="AS20" s="59" t="s">
        <v>328</v>
      </c>
      <c r="AT20" s="53"/>
      <c r="AU20" s="108" t="s">
        <v>298</v>
      </c>
      <c r="AV20" s="556" t="s">
        <v>329</v>
      </c>
      <c r="AW20" s="12" t="s">
        <v>100</v>
      </c>
      <c r="AX20" s="55" t="s">
        <v>101</v>
      </c>
      <c r="AY20" s="12" t="s">
        <v>330</v>
      </c>
      <c r="AZ20" s="12"/>
      <c r="BA20" s="53"/>
      <c r="BB20" s="12" t="s">
        <v>331</v>
      </c>
      <c r="BC20" s="59" t="s">
        <v>332</v>
      </c>
      <c r="BD20" s="12"/>
      <c r="BE20" s="12">
        <v>24</v>
      </c>
      <c r="BF20" s="12">
        <v>24</v>
      </c>
      <c r="BG20" s="39" t="s">
        <v>330</v>
      </c>
      <c r="BH20" s="49" t="s">
        <v>301</v>
      </c>
      <c r="BI20" s="51" t="s">
        <v>75</v>
      </c>
      <c r="BJ20" s="12" t="s">
        <v>315</v>
      </c>
      <c r="BK20" s="555" t="s">
        <v>333</v>
      </c>
      <c r="BL20" s="284"/>
    </row>
    <row r="21" s="1" customFormat="1" spans="1:64">
      <c r="A21" s="54">
        <v>16</v>
      </c>
      <c r="B21" s="49">
        <v>4872</v>
      </c>
      <c r="C21" s="50" t="s">
        <v>284</v>
      </c>
      <c r="D21" s="58" t="s">
        <v>76</v>
      </c>
      <c r="E21" s="50" t="s">
        <v>285</v>
      </c>
      <c r="F21" s="53"/>
      <c r="G21" s="12" t="s">
        <v>334</v>
      </c>
      <c r="H21" s="50" t="s">
        <v>177</v>
      </c>
      <c r="I21" s="50" t="str">
        <f t="shared" si="0"/>
        <v>Jensel Parewang, S.Pd</v>
      </c>
      <c r="J21" s="51" t="s">
        <v>127</v>
      </c>
      <c r="K21" s="102" t="str">
        <f t="shared" si="1"/>
        <v>Laki-laki</v>
      </c>
      <c r="L21" s="112" t="s">
        <v>335</v>
      </c>
      <c r="M21" s="305">
        <v>33252</v>
      </c>
      <c r="N21" s="119" t="str">
        <f ca="1" t="shared" si="2"/>
        <v>34 Tahun 9 Bulan </v>
      </c>
      <c r="O21" s="305">
        <v>33252</v>
      </c>
      <c r="P21" s="52">
        <f ca="1" t="shared" si="7"/>
        <v>34</v>
      </c>
      <c r="Q21" s="52" t="str">
        <f ca="1" t="shared" si="8"/>
        <v>OKE</v>
      </c>
      <c r="R21" s="12" t="s">
        <v>336</v>
      </c>
      <c r="S21" s="53"/>
      <c r="T21" s="60"/>
      <c r="U21" s="108" t="s">
        <v>83</v>
      </c>
      <c r="V21" s="12" t="s">
        <v>290</v>
      </c>
      <c r="W21" s="59" t="s">
        <v>337</v>
      </c>
      <c r="X21" s="12" t="s">
        <v>338</v>
      </c>
      <c r="Y21" s="12">
        <v>17</v>
      </c>
      <c r="Z21" s="12">
        <v>0</v>
      </c>
      <c r="AA21" s="53"/>
      <c r="AB21" s="59" t="s">
        <v>88</v>
      </c>
      <c r="AC21" s="108">
        <v>77315</v>
      </c>
      <c r="AD21" s="193" t="s">
        <v>292</v>
      </c>
      <c r="AE21" s="12"/>
      <c r="AF21" s="12" t="s">
        <v>339</v>
      </c>
      <c r="AG21" s="12" t="s">
        <v>340</v>
      </c>
      <c r="AH21" s="53"/>
      <c r="AI21" s="53"/>
      <c r="AJ21" s="12" t="s">
        <v>341</v>
      </c>
      <c r="AK21" s="222">
        <v>42212</v>
      </c>
      <c r="AL21" s="119" t="str">
        <f ca="1" t="shared" si="5"/>
        <v>10 Tahun 3 Bulan </v>
      </c>
      <c r="AM21" s="12" t="s">
        <v>342</v>
      </c>
      <c r="AN21" s="215" t="s">
        <v>93</v>
      </c>
      <c r="AO21" s="59" t="s">
        <v>343</v>
      </c>
      <c r="AP21" s="59" t="s">
        <v>297</v>
      </c>
      <c r="AQ21" s="59"/>
      <c r="AR21" s="12"/>
      <c r="AS21" s="59" t="s">
        <v>232</v>
      </c>
      <c r="AT21" s="53"/>
      <c r="AU21" s="108" t="s">
        <v>298</v>
      </c>
      <c r="AV21" s="12" t="s">
        <v>344</v>
      </c>
      <c r="AW21" s="12" t="s">
        <v>100</v>
      </c>
      <c r="AX21" s="55" t="s">
        <v>101</v>
      </c>
      <c r="AY21" s="12" t="s">
        <v>345</v>
      </c>
      <c r="AZ21" s="12"/>
      <c r="BA21" s="53"/>
      <c r="BB21" s="12" t="s">
        <v>346</v>
      </c>
      <c r="BC21" s="12" t="s">
        <v>347</v>
      </c>
      <c r="BD21" s="12"/>
      <c r="BE21" s="12">
        <v>24</v>
      </c>
      <c r="BF21" s="12">
        <v>24</v>
      </c>
      <c r="BG21" s="39" t="s">
        <v>345</v>
      </c>
      <c r="BH21" s="49" t="s">
        <v>301</v>
      </c>
      <c r="BI21" s="58" t="s">
        <v>75</v>
      </c>
      <c r="BJ21" s="12" t="s">
        <v>334</v>
      </c>
      <c r="BK21" s="108">
        <v>1552232352</v>
      </c>
      <c r="BL21" s="284"/>
    </row>
    <row r="22" s="1" customFormat="1" spans="1:64">
      <c r="A22" s="54">
        <v>17</v>
      </c>
      <c r="B22" s="49">
        <v>4873</v>
      </c>
      <c r="C22" s="50" t="s">
        <v>284</v>
      </c>
      <c r="D22" s="51" t="s">
        <v>76</v>
      </c>
      <c r="E22" s="52" t="s">
        <v>285</v>
      </c>
      <c r="F22" s="53"/>
      <c r="G22" s="12" t="s">
        <v>348</v>
      </c>
      <c r="H22" s="50" t="s">
        <v>177</v>
      </c>
      <c r="I22" s="50" t="str">
        <f t="shared" si="0"/>
        <v>Jumiati, S.Pd</v>
      </c>
      <c r="J22" s="51" t="s">
        <v>80</v>
      </c>
      <c r="K22" s="102" t="str">
        <f t="shared" si="1"/>
        <v>Perempuan</v>
      </c>
      <c r="L22" s="112" t="s">
        <v>88</v>
      </c>
      <c r="M22" s="305">
        <v>33379</v>
      </c>
      <c r="N22" s="119" t="str">
        <f ca="1" t="shared" si="2"/>
        <v>34 Tahun 5 Bulan </v>
      </c>
      <c r="O22" s="305">
        <v>33379</v>
      </c>
      <c r="P22" s="52">
        <f ca="1" t="shared" si="7"/>
        <v>34</v>
      </c>
      <c r="Q22" s="52" t="str">
        <f ca="1" t="shared" si="8"/>
        <v>OKE</v>
      </c>
      <c r="R22" s="12" t="s">
        <v>349</v>
      </c>
      <c r="S22" s="53"/>
      <c r="T22" s="60"/>
      <c r="U22" s="108" t="s">
        <v>83</v>
      </c>
      <c r="V22" s="12" t="s">
        <v>290</v>
      </c>
      <c r="W22" s="59" t="s">
        <v>112</v>
      </c>
      <c r="X22" s="12" t="s">
        <v>350</v>
      </c>
      <c r="Y22" s="12">
        <v>4</v>
      </c>
      <c r="Z22" s="12">
        <v>0</v>
      </c>
      <c r="AA22" s="53"/>
      <c r="AB22" s="59" t="s">
        <v>87</v>
      </c>
      <c r="AC22" s="108">
        <v>77312</v>
      </c>
      <c r="AD22" s="193" t="s">
        <v>292</v>
      </c>
      <c r="AE22" s="12"/>
      <c r="AF22" s="12" t="s">
        <v>351</v>
      </c>
      <c r="AG22" s="12" t="s">
        <v>352</v>
      </c>
      <c r="AH22" s="53"/>
      <c r="AI22" s="53"/>
      <c r="AJ22" s="12" t="s">
        <v>353</v>
      </c>
      <c r="AK22" s="222">
        <v>41456</v>
      </c>
      <c r="AL22" s="119" t="str">
        <f ca="1" t="shared" si="5"/>
        <v>12 Tahun 4 Bulan </v>
      </c>
      <c r="AM22" s="12" t="s">
        <v>92</v>
      </c>
      <c r="AN22" s="215" t="s">
        <v>93</v>
      </c>
      <c r="AO22" s="59" t="s">
        <v>354</v>
      </c>
      <c r="AP22" s="59" t="s">
        <v>95</v>
      </c>
      <c r="AQ22" s="59" t="s">
        <v>355</v>
      </c>
      <c r="AR22" s="12"/>
      <c r="AS22" s="59" t="s">
        <v>155</v>
      </c>
      <c r="AT22" s="53"/>
      <c r="AU22" s="108" t="s">
        <v>356</v>
      </c>
      <c r="AV22" s="271" t="s">
        <v>357</v>
      </c>
      <c r="AW22" s="12" t="s">
        <v>100</v>
      </c>
      <c r="AX22" s="55" t="s">
        <v>101</v>
      </c>
      <c r="AY22" s="12" t="s">
        <v>358</v>
      </c>
      <c r="AZ22" s="12"/>
      <c r="BA22" s="53"/>
      <c r="BB22" s="271" t="s">
        <v>359</v>
      </c>
      <c r="BC22" s="271" t="s">
        <v>360</v>
      </c>
      <c r="BD22" s="340"/>
      <c r="BE22" s="271">
        <v>25</v>
      </c>
      <c r="BF22" s="271">
        <v>25</v>
      </c>
      <c r="BG22" s="39" t="s">
        <v>358</v>
      </c>
      <c r="BH22" s="49" t="s">
        <v>301</v>
      </c>
      <c r="BI22" s="51" t="s">
        <v>75</v>
      </c>
      <c r="BJ22" s="12" t="s">
        <v>348</v>
      </c>
      <c r="BK22" s="49" t="s">
        <v>361</v>
      </c>
      <c r="BL22" s="284"/>
    </row>
    <row r="23" s="1" customFormat="1" spans="1:64">
      <c r="A23" s="54">
        <v>18</v>
      </c>
      <c r="B23" s="49">
        <v>4874</v>
      </c>
      <c r="C23" s="50" t="s">
        <v>284</v>
      </c>
      <c r="D23" s="58" t="s">
        <v>76</v>
      </c>
      <c r="E23" s="50" t="s">
        <v>285</v>
      </c>
      <c r="F23" s="53"/>
      <c r="G23" s="12" t="s">
        <v>362</v>
      </c>
      <c r="H23" s="50" t="s">
        <v>126</v>
      </c>
      <c r="I23" s="50" t="str">
        <f t="shared" si="0"/>
        <v>Melisa, S.ST</v>
      </c>
      <c r="J23" s="51" t="s">
        <v>80</v>
      </c>
      <c r="K23" s="102" t="str">
        <f t="shared" si="1"/>
        <v>Perempuan</v>
      </c>
      <c r="L23" s="112" t="s">
        <v>131</v>
      </c>
      <c r="M23" s="305">
        <v>32863</v>
      </c>
      <c r="N23" s="119" t="str">
        <f ca="1" t="shared" si="2"/>
        <v>35 Tahun 10 Bulan </v>
      </c>
      <c r="O23" s="305">
        <v>32863</v>
      </c>
      <c r="P23" s="52">
        <f ca="1" t="shared" si="7"/>
        <v>35</v>
      </c>
      <c r="Q23" s="52" t="str">
        <f ca="1" t="shared" si="8"/>
        <v>OKE</v>
      </c>
      <c r="R23" s="12" t="s">
        <v>363</v>
      </c>
      <c r="S23" s="53"/>
      <c r="T23" s="60"/>
      <c r="U23" s="108" t="s">
        <v>83</v>
      </c>
      <c r="V23" s="12" t="s">
        <v>290</v>
      </c>
      <c r="W23" s="59" t="s">
        <v>112</v>
      </c>
      <c r="X23" s="12" t="s">
        <v>364</v>
      </c>
      <c r="Y23" s="12">
        <v>5</v>
      </c>
      <c r="Z23" s="12">
        <v>0</v>
      </c>
      <c r="AA23" s="53"/>
      <c r="AB23" s="59" t="s">
        <v>131</v>
      </c>
      <c r="AC23" s="108">
        <v>77315</v>
      </c>
      <c r="AD23" s="193" t="s">
        <v>321</v>
      </c>
      <c r="AE23" s="12"/>
      <c r="AF23" s="12" t="s">
        <v>365</v>
      </c>
      <c r="AG23" s="12" t="s">
        <v>366</v>
      </c>
      <c r="AH23" s="53"/>
      <c r="AI23" s="53"/>
      <c r="AJ23" s="12" t="s">
        <v>367</v>
      </c>
      <c r="AK23" s="222">
        <v>40909</v>
      </c>
      <c r="AL23" s="119" t="str">
        <f ca="1" t="shared" si="5"/>
        <v>13 Tahun 10 Bulan </v>
      </c>
      <c r="AM23" s="12" t="s">
        <v>92</v>
      </c>
      <c r="AN23" s="215" t="s">
        <v>93</v>
      </c>
      <c r="AO23" s="59" t="s">
        <v>368</v>
      </c>
      <c r="AP23" s="59" t="s">
        <v>169</v>
      </c>
      <c r="AQ23" s="59"/>
      <c r="AR23" s="12"/>
      <c r="AS23" s="59"/>
      <c r="AT23" s="53"/>
      <c r="AU23" s="108" t="s">
        <v>298</v>
      </c>
      <c r="AV23" s="12" t="s">
        <v>369</v>
      </c>
      <c r="AW23" s="12" t="s">
        <v>100</v>
      </c>
      <c r="AX23" s="55" t="s">
        <v>370</v>
      </c>
      <c r="AY23" s="12" t="s">
        <v>371</v>
      </c>
      <c r="AZ23" s="12"/>
      <c r="BA23" s="53"/>
      <c r="BB23" s="12" t="s">
        <v>372</v>
      </c>
      <c r="BC23" s="12" t="s">
        <v>373</v>
      </c>
      <c r="BD23" s="12"/>
      <c r="BE23" s="12">
        <v>24</v>
      </c>
      <c r="BF23" s="12">
        <v>24</v>
      </c>
      <c r="BG23" s="12" t="s">
        <v>374</v>
      </c>
      <c r="BH23" s="49" t="s">
        <v>301</v>
      </c>
      <c r="BI23" s="58" t="s">
        <v>75</v>
      </c>
      <c r="BJ23" s="12" t="s">
        <v>362</v>
      </c>
      <c r="BK23" s="49">
        <v>1248001611</v>
      </c>
      <c r="BL23" s="284"/>
    </row>
    <row r="24" s="1" customFormat="1" spans="1:64">
      <c r="A24" s="54">
        <v>19</v>
      </c>
      <c r="B24" s="49">
        <v>4875</v>
      </c>
      <c r="C24" s="50" t="s">
        <v>284</v>
      </c>
      <c r="D24" s="51" t="s">
        <v>76</v>
      </c>
      <c r="E24" s="52" t="s">
        <v>285</v>
      </c>
      <c r="F24" s="53"/>
      <c r="G24" s="12" t="s">
        <v>375</v>
      </c>
      <c r="H24" s="50" t="s">
        <v>376</v>
      </c>
      <c r="I24" s="50" t="str">
        <f t="shared" si="0"/>
        <v>Nor Imansyah, S.T</v>
      </c>
      <c r="J24" s="51" t="s">
        <v>127</v>
      </c>
      <c r="K24" s="102" t="str">
        <f t="shared" si="1"/>
        <v>Laki-laki</v>
      </c>
      <c r="L24" s="112" t="s">
        <v>88</v>
      </c>
      <c r="M24" s="305">
        <v>29364</v>
      </c>
      <c r="N24" s="119" t="str">
        <f ca="1" t="shared" si="2"/>
        <v>45 Tahun 5 Bulan </v>
      </c>
      <c r="O24" s="305">
        <v>29364</v>
      </c>
      <c r="P24" s="52">
        <f ca="1" t="shared" si="7"/>
        <v>45</v>
      </c>
      <c r="Q24" s="52" t="str">
        <f ca="1" t="shared" si="8"/>
        <v>OKE</v>
      </c>
      <c r="R24" s="12" t="s">
        <v>377</v>
      </c>
      <c r="S24" s="53"/>
      <c r="T24" s="60" t="s">
        <v>378</v>
      </c>
      <c r="U24" s="108" t="s">
        <v>379</v>
      </c>
      <c r="V24" s="12" t="s">
        <v>290</v>
      </c>
      <c r="W24" s="59" t="s">
        <v>112</v>
      </c>
      <c r="X24" s="12" t="s">
        <v>380</v>
      </c>
      <c r="Y24" s="12">
        <v>1</v>
      </c>
      <c r="Z24" s="12">
        <v>0</v>
      </c>
      <c r="AA24" s="53"/>
      <c r="AB24" s="59" t="s">
        <v>381</v>
      </c>
      <c r="AC24" s="108">
        <v>77315</v>
      </c>
      <c r="AD24" s="193" t="s">
        <v>292</v>
      </c>
      <c r="AE24" s="12"/>
      <c r="AF24" s="556" t="s">
        <v>382</v>
      </c>
      <c r="AG24" s="12" t="s">
        <v>383</v>
      </c>
      <c r="AH24" s="53"/>
      <c r="AI24" s="53"/>
      <c r="AJ24" s="12" t="s">
        <v>384</v>
      </c>
      <c r="AK24" s="222">
        <v>38899</v>
      </c>
      <c r="AL24" s="119" t="str">
        <f ca="1" t="shared" si="5"/>
        <v>19 Tahun 4 Bulan </v>
      </c>
      <c r="AM24" s="12" t="s">
        <v>92</v>
      </c>
      <c r="AN24" s="215" t="s">
        <v>93</v>
      </c>
      <c r="AO24" s="59" t="s">
        <v>385</v>
      </c>
      <c r="AP24" s="59" t="s">
        <v>95</v>
      </c>
      <c r="AQ24" s="59" t="s">
        <v>386</v>
      </c>
      <c r="AR24" s="12"/>
      <c r="AS24" s="59" t="s">
        <v>387</v>
      </c>
      <c r="AT24" s="53"/>
      <c r="AU24" s="108" t="s">
        <v>298</v>
      </c>
      <c r="AV24" s="12" t="s">
        <v>388</v>
      </c>
      <c r="AW24" s="12" t="s">
        <v>100</v>
      </c>
      <c r="AX24" s="55" t="s">
        <v>101</v>
      </c>
      <c r="AY24" s="12" t="s">
        <v>389</v>
      </c>
      <c r="AZ24" s="12"/>
      <c r="BA24" s="53"/>
      <c r="BB24" s="174" t="s">
        <v>390</v>
      </c>
      <c r="BC24" s="59" t="s">
        <v>391</v>
      </c>
      <c r="BD24" s="53"/>
      <c r="BE24" s="53">
        <v>41</v>
      </c>
      <c r="BF24" s="53">
        <v>41</v>
      </c>
      <c r="BG24" s="39" t="s">
        <v>141</v>
      </c>
      <c r="BH24" s="49" t="s">
        <v>301</v>
      </c>
      <c r="BI24" s="51" t="s">
        <v>75</v>
      </c>
      <c r="BJ24" s="12" t="s">
        <v>375</v>
      </c>
      <c r="BK24" s="49" t="s">
        <v>392</v>
      </c>
      <c r="BL24" s="284"/>
    </row>
    <row r="25" s="1" customFormat="1" spans="1:64">
      <c r="A25" s="54">
        <v>20</v>
      </c>
      <c r="B25" s="49">
        <v>4876</v>
      </c>
      <c r="C25" s="50" t="s">
        <v>284</v>
      </c>
      <c r="D25" s="58" t="s">
        <v>76</v>
      </c>
      <c r="E25" s="50" t="s">
        <v>285</v>
      </c>
      <c r="F25" s="53"/>
      <c r="G25" s="12" t="s">
        <v>393</v>
      </c>
      <c r="H25" s="50" t="s">
        <v>394</v>
      </c>
      <c r="I25" s="50" t="str">
        <f t="shared" si="0"/>
        <v>Nurhalimah, S.Hum</v>
      </c>
      <c r="J25" s="51" t="s">
        <v>80</v>
      </c>
      <c r="K25" s="102" t="str">
        <f t="shared" si="1"/>
        <v>Perempuan</v>
      </c>
      <c r="L25" s="112" t="s">
        <v>395</v>
      </c>
      <c r="M25" s="305">
        <v>33565</v>
      </c>
      <c r="N25" s="119" t="str">
        <f ca="1" t="shared" si="2"/>
        <v>33 Tahun 11 Bulan </v>
      </c>
      <c r="O25" s="306" t="str">
        <f t="shared" si="6"/>
        <v>23 November 1991</v>
      </c>
      <c r="P25" s="52">
        <f ca="1" t="shared" si="7"/>
        <v>33</v>
      </c>
      <c r="Q25" s="52" t="str">
        <f ca="1" t="shared" si="8"/>
        <v>OKE</v>
      </c>
      <c r="R25" s="12" t="s">
        <v>396</v>
      </c>
      <c r="S25" s="53"/>
      <c r="T25" s="60"/>
      <c r="U25" s="108" t="s">
        <v>83</v>
      </c>
      <c r="V25" s="12" t="s">
        <v>290</v>
      </c>
      <c r="W25" s="59" t="s">
        <v>112</v>
      </c>
      <c r="X25" s="12" t="s">
        <v>397</v>
      </c>
      <c r="Y25" s="12">
        <v>5</v>
      </c>
      <c r="Z25" s="12">
        <v>3</v>
      </c>
      <c r="AA25" s="53"/>
      <c r="AB25" s="59" t="s">
        <v>398</v>
      </c>
      <c r="AC25" s="108">
        <v>77371</v>
      </c>
      <c r="AD25" s="193" t="s">
        <v>399</v>
      </c>
      <c r="AE25" s="12"/>
      <c r="AF25" s="556" t="s">
        <v>400</v>
      </c>
      <c r="AG25" s="212" t="s">
        <v>401</v>
      </c>
      <c r="AH25" s="53"/>
      <c r="AI25" s="53"/>
      <c r="AJ25" s="12" t="s">
        <v>402</v>
      </c>
      <c r="AK25" s="222">
        <v>42226</v>
      </c>
      <c r="AL25" s="119" t="str">
        <f ca="1" t="shared" si="5"/>
        <v>10 Tahun 2 Bulan </v>
      </c>
      <c r="AM25" s="12" t="s">
        <v>309</v>
      </c>
      <c r="AN25" s="215" t="s">
        <v>93</v>
      </c>
      <c r="AO25" s="59" t="s">
        <v>403</v>
      </c>
      <c r="AP25" s="59" t="s">
        <v>297</v>
      </c>
      <c r="AQ25" s="59"/>
      <c r="AR25" s="12"/>
      <c r="AS25" s="59" t="s">
        <v>232</v>
      </c>
      <c r="AT25" s="53"/>
      <c r="AU25" s="108" t="s">
        <v>298</v>
      </c>
      <c r="AV25" s="271" t="s">
        <v>404</v>
      </c>
      <c r="AW25" s="12" t="s">
        <v>100</v>
      </c>
      <c r="AX25" s="55" t="s">
        <v>101</v>
      </c>
      <c r="AY25" s="12" t="s">
        <v>405</v>
      </c>
      <c r="AZ25" s="12"/>
      <c r="BA25" s="53"/>
      <c r="BB25" s="12" t="s">
        <v>406</v>
      </c>
      <c r="BC25" s="59" t="s">
        <v>407</v>
      </c>
      <c r="BD25" s="12"/>
      <c r="BE25" s="12">
        <v>27</v>
      </c>
      <c r="BF25" s="12">
        <v>27</v>
      </c>
      <c r="BG25" s="12" t="s">
        <v>405</v>
      </c>
      <c r="BH25" s="49" t="s">
        <v>301</v>
      </c>
      <c r="BI25" s="58" t="s">
        <v>75</v>
      </c>
      <c r="BJ25" s="12" t="s">
        <v>393</v>
      </c>
      <c r="BK25" s="49" t="s">
        <v>408</v>
      </c>
      <c r="BL25" s="284"/>
    </row>
    <row r="26" s="1" customFormat="1" spans="1:64">
      <c r="A26" s="54">
        <v>21</v>
      </c>
      <c r="B26" s="49">
        <v>4877</v>
      </c>
      <c r="C26" s="50" t="s">
        <v>284</v>
      </c>
      <c r="D26" s="51" t="s">
        <v>76</v>
      </c>
      <c r="E26" s="52" t="s">
        <v>285</v>
      </c>
      <c r="F26" s="53"/>
      <c r="G26" s="12" t="s">
        <v>409</v>
      </c>
      <c r="H26" s="50" t="s">
        <v>177</v>
      </c>
      <c r="I26" s="50" t="str">
        <f t="shared" si="0"/>
        <v>Risna Herjayanti, S.Pd</v>
      </c>
      <c r="J26" s="51" t="s">
        <v>80</v>
      </c>
      <c r="K26" s="102" t="str">
        <f t="shared" si="1"/>
        <v>Perempuan</v>
      </c>
      <c r="L26" s="112" t="s">
        <v>88</v>
      </c>
      <c r="M26" s="305">
        <v>33789</v>
      </c>
      <c r="N26" s="119" t="str">
        <f ca="1" t="shared" si="2"/>
        <v>33 Tahun 4 Bulan </v>
      </c>
      <c r="O26" s="305">
        <v>33789</v>
      </c>
      <c r="P26" s="52">
        <f ca="1" t="shared" si="7"/>
        <v>33</v>
      </c>
      <c r="Q26" s="52" t="str">
        <f ca="1" t="shared" si="8"/>
        <v>OKE</v>
      </c>
      <c r="R26" s="12" t="s">
        <v>410</v>
      </c>
      <c r="S26" s="53"/>
      <c r="T26" s="60"/>
      <c r="U26" s="108" t="s">
        <v>83</v>
      </c>
      <c r="V26" s="12" t="s">
        <v>290</v>
      </c>
      <c r="W26" s="59" t="s">
        <v>112</v>
      </c>
      <c r="X26" s="12" t="s">
        <v>411</v>
      </c>
      <c r="Y26" s="12">
        <v>7</v>
      </c>
      <c r="Z26" s="12">
        <v>0</v>
      </c>
      <c r="AA26" s="53"/>
      <c r="AB26" s="59" t="s">
        <v>276</v>
      </c>
      <c r="AC26" s="108">
        <v>77315</v>
      </c>
      <c r="AD26" s="193" t="s">
        <v>292</v>
      </c>
      <c r="AE26" s="12"/>
      <c r="AF26" s="12" t="s">
        <v>412</v>
      </c>
      <c r="AG26" s="12" t="s">
        <v>413</v>
      </c>
      <c r="AH26" s="53"/>
      <c r="AI26" s="53"/>
      <c r="AJ26" s="12" t="s">
        <v>402</v>
      </c>
      <c r="AK26" s="222">
        <v>42212</v>
      </c>
      <c r="AL26" s="119" t="str">
        <f ca="1" t="shared" si="5"/>
        <v>10 Tahun 3 Bulan </v>
      </c>
      <c r="AM26" s="12" t="s">
        <v>309</v>
      </c>
      <c r="AN26" s="215" t="s">
        <v>93</v>
      </c>
      <c r="AO26" s="59" t="s">
        <v>414</v>
      </c>
      <c r="AP26" s="59" t="s">
        <v>297</v>
      </c>
      <c r="AQ26" s="59"/>
      <c r="AR26" s="12"/>
      <c r="AS26" s="59" t="s">
        <v>232</v>
      </c>
      <c r="AT26" s="53"/>
      <c r="AU26" s="108" t="s">
        <v>298</v>
      </c>
      <c r="AV26" s="556" t="s">
        <v>415</v>
      </c>
      <c r="AW26" s="12" t="s">
        <v>100</v>
      </c>
      <c r="AX26" s="55" t="s">
        <v>101</v>
      </c>
      <c r="AY26" s="12" t="s">
        <v>416</v>
      </c>
      <c r="AZ26" s="12"/>
      <c r="BA26" s="53"/>
      <c r="BB26" s="271" t="s">
        <v>406</v>
      </c>
      <c r="BC26" s="12" t="s">
        <v>416</v>
      </c>
      <c r="BD26" s="12"/>
      <c r="BE26" s="12">
        <v>24</v>
      </c>
      <c r="BF26" s="12">
        <v>24</v>
      </c>
      <c r="BG26" s="39" t="s">
        <v>416</v>
      </c>
      <c r="BH26" s="49" t="s">
        <v>301</v>
      </c>
      <c r="BI26" s="51" t="s">
        <v>75</v>
      </c>
      <c r="BJ26" s="12" t="s">
        <v>409</v>
      </c>
      <c r="BK26" s="49" t="s">
        <v>417</v>
      </c>
      <c r="BL26" s="284"/>
    </row>
    <row r="27" s="1" customFormat="1" spans="1:64">
      <c r="A27" s="54">
        <v>22</v>
      </c>
      <c r="B27" s="49">
        <v>4878</v>
      </c>
      <c r="C27" s="50" t="s">
        <v>284</v>
      </c>
      <c r="D27" s="58" t="s">
        <v>76</v>
      </c>
      <c r="E27" s="50" t="s">
        <v>285</v>
      </c>
      <c r="F27" s="53"/>
      <c r="G27" s="12" t="s">
        <v>418</v>
      </c>
      <c r="H27" s="50" t="s">
        <v>419</v>
      </c>
      <c r="I27" s="50" t="str">
        <f t="shared" si="0"/>
        <v>Sita Ratte, S.Pd.K</v>
      </c>
      <c r="J27" s="51" t="s">
        <v>80</v>
      </c>
      <c r="K27" s="102" t="str">
        <f t="shared" si="1"/>
        <v>Perempuan</v>
      </c>
      <c r="L27" s="112" t="s">
        <v>420</v>
      </c>
      <c r="M27" s="305">
        <v>31202</v>
      </c>
      <c r="N27" s="119" t="str">
        <f ca="1" t="shared" si="2"/>
        <v>40 Tahun 5 Bulan </v>
      </c>
      <c r="O27" s="305">
        <v>31202</v>
      </c>
      <c r="P27" s="52">
        <f ca="1" t="shared" si="7"/>
        <v>40</v>
      </c>
      <c r="Q27" s="52" t="str">
        <f ca="1" t="shared" si="8"/>
        <v>OKE</v>
      </c>
      <c r="R27" s="12" t="s">
        <v>421</v>
      </c>
      <c r="S27" s="53"/>
      <c r="T27" s="60"/>
      <c r="U27" s="108" t="s">
        <v>83</v>
      </c>
      <c r="V27" s="12" t="s">
        <v>290</v>
      </c>
      <c r="W27" s="59" t="s">
        <v>337</v>
      </c>
      <c r="X27" s="12" t="s">
        <v>422</v>
      </c>
      <c r="Y27" s="12">
        <v>1</v>
      </c>
      <c r="Z27" s="12">
        <v>0</v>
      </c>
      <c r="AA27" s="53"/>
      <c r="AB27" s="59" t="s">
        <v>423</v>
      </c>
      <c r="AC27" s="108">
        <v>77311</v>
      </c>
      <c r="AD27" s="193" t="s">
        <v>292</v>
      </c>
      <c r="AE27" s="12"/>
      <c r="AF27" s="12" t="s">
        <v>424</v>
      </c>
      <c r="AG27" s="12" t="s">
        <v>425</v>
      </c>
      <c r="AH27" s="53"/>
      <c r="AI27" s="53"/>
      <c r="AJ27" s="12" t="s">
        <v>426</v>
      </c>
      <c r="AK27" s="222">
        <v>40330</v>
      </c>
      <c r="AL27" s="119" t="str">
        <f ca="1" t="shared" si="5"/>
        <v>15 Tahun 5 Bulan </v>
      </c>
      <c r="AM27" s="12" t="s">
        <v>92</v>
      </c>
      <c r="AN27" s="215" t="s">
        <v>93</v>
      </c>
      <c r="AO27" s="59" t="s">
        <v>427</v>
      </c>
      <c r="AP27" s="59" t="s">
        <v>95</v>
      </c>
      <c r="AQ27" s="59" t="s">
        <v>428</v>
      </c>
      <c r="AR27" s="12"/>
      <c r="AS27" s="59" t="s">
        <v>232</v>
      </c>
      <c r="AT27" s="53"/>
      <c r="AU27" s="108" t="s">
        <v>298</v>
      </c>
      <c r="AV27" s="556" t="s">
        <v>429</v>
      </c>
      <c r="AW27" s="12" t="s">
        <v>100</v>
      </c>
      <c r="AX27" s="55" t="s">
        <v>101</v>
      </c>
      <c r="AY27" s="12" t="s">
        <v>430</v>
      </c>
      <c r="AZ27" s="12"/>
      <c r="BA27" s="53"/>
      <c r="BB27" s="12"/>
      <c r="BC27" s="12" t="s">
        <v>431</v>
      </c>
      <c r="BD27" s="12"/>
      <c r="BE27" s="12">
        <v>20</v>
      </c>
      <c r="BF27" s="12">
        <v>20</v>
      </c>
      <c r="BG27" s="39" t="s">
        <v>430</v>
      </c>
      <c r="BH27" s="49" t="s">
        <v>301</v>
      </c>
      <c r="BI27" s="58" t="s">
        <v>75</v>
      </c>
      <c r="BJ27" s="12" t="s">
        <v>418</v>
      </c>
      <c r="BK27" s="555" t="s">
        <v>432</v>
      </c>
      <c r="BL27" s="284"/>
    </row>
    <row r="28" s="1" customFormat="1" ht="15" customHeight="1" spans="1:64">
      <c r="A28" s="54">
        <v>23</v>
      </c>
      <c r="B28" s="49">
        <v>4879</v>
      </c>
      <c r="C28" s="50" t="s">
        <v>284</v>
      </c>
      <c r="D28" s="51" t="s">
        <v>76</v>
      </c>
      <c r="E28" s="52" t="s">
        <v>285</v>
      </c>
      <c r="F28" s="53"/>
      <c r="G28" s="12" t="s">
        <v>433</v>
      </c>
      <c r="H28" s="50" t="s">
        <v>177</v>
      </c>
      <c r="I28" s="50" t="str">
        <f t="shared" si="0"/>
        <v>Suparta, S.Pd</v>
      </c>
      <c r="J28" s="51" t="s">
        <v>127</v>
      </c>
      <c r="K28" s="102" t="str">
        <f t="shared" si="1"/>
        <v>Laki-laki</v>
      </c>
      <c r="L28" s="112" t="s">
        <v>434</v>
      </c>
      <c r="M28" s="305">
        <v>32426</v>
      </c>
      <c r="N28" s="119" t="str">
        <f ca="1" t="shared" si="2"/>
        <v>37 Tahun 0 Bulan </v>
      </c>
      <c r="O28" s="305">
        <v>32426</v>
      </c>
      <c r="P28" s="52">
        <f ca="1" t="shared" si="7"/>
        <v>37</v>
      </c>
      <c r="Q28" s="52" t="str">
        <f ca="1" t="shared" si="8"/>
        <v>OKE</v>
      </c>
      <c r="R28" s="12" t="s">
        <v>435</v>
      </c>
      <c r="S28" s="53"/>
      <c r="T28" s="60"/>
      <c r="U28" s="108" t="s">
        <v>83</v>
      </c>
      <c r="V28" s="12" t="s">
        <v>290</v>
      </c>
      <c r="W28" s="59" t="s">
        <v>112</v>
      </c>
      <c r="X28" s="12" t="s">
        <v>436</v>
      </c>
      <c r="Y28" s="12">
        <v>4</v>
      </c>
      <c r="Z28" s="12">
        <v>0</v>
      </c>
      <c r="AA28" s="53"/>
      <c r="AB28" s="59" t="s">
        <v>437</v>
      </c>
      <c r="AC28" s="108">
        <v>77352</v>
      </c>
      <c r="AD28" s="193" t="s">
        <v>438</v>
      </c>
      <c r="AE28" s="12"/>
      <c r="AF28" s="12" t="s">
        <v>439</v>
      </c>
      <c r="AG28" s="213" t="s">
        <v>440</v>
      </c>
      <c r="AH28" s="53"/>
      <c r="AI28" s="53"/>
      <c r="AJ28" s="12" t="s">
        <v>441</v>
      </c>
      <c r="AK28" s="222">
        <v>41153</v>
      </c>
      <c r="AL28" s="119" t="str">
        <f ca="1" t="shared" si="5"/>
        <v>13 Tahun 2 Bulan </v>
      </c>
      <c r="AM28" s="12" t="s">
        <v>92</v>
      </c>
      <c r="AN28" s="215" t="s">
        <v>93</v>
      </c>
      <c r="AO28" s="59" t="s">
        <v>442</v>
      </c>
      <c r="AP28" s="59" t="s">
        <v>95</v>
      </c>
      <c r="AQ28" s="59" t="s">
        <v>443</v>
      </c>
      <c r="AR28" s="12"/>
      <c r="AS28" s="59" t="s">
        <v>155</v>
      </c>
      <c r="AT28" s="53"/>
      <c r="AU28" s="108" t="s">
        <v>298</v>
      </c>
      <c r="AV28" s="12" t="s">
        <v>444</v>
      </c>
      <c r="AW28" s="12" t="s">
        <v>100</v>
      </c>
      <c r="AX28" s="55" t="s">
        <v>101</v>
      </c>
      <c r="AY28" s="12" t="s">
        <v>313</v>
      </c>
      <c r="AZ28" s="12"/>
      <c r="BA28" s="53"/>
      <c r="BB28" s="271" t="s">
        <v>406</v>
      </c>
      <c r="BC28" s="341" t="s">
        <v>445</v>
      </c>
      <c r="BD28" s="12"/>
      <c r="BE28" s="12">
        <v>31</v>
      </c>
      <c r="BF28" s="12">
        <v>31</v>
      </c>
      <c r="BG28" s="12" t="s">
        <v>313</v>
      </c>
      <c r="BH28" s="49" t="s">
        <v>301</v>
      </c>
      <c r="BI28" s="51" t="s">
        <v>75</v>
      </c>
      <c r="BJ28" s="12" t="s">
        <v>433</v>
      </c>
      <c r="BK28" s="49">
        <v>1552232361</v>
      </c>
      <c r="BL28" s="284"/>
    </row>
    <row r="29" s="1" customFormat="1" spans="1:64">
      <c r="A29" s="54">
        <v>24</v>
      </c>
      <c r="B29" s="49">
        <v>4880</v>
      </c>
      <c r="C29" s="50" t="s">
        <v>284</v>
      </c>
      <c r="D29" s="58" t="s">
        <v>76</v>
      </c>
      <c r="E29" s="50" t="s">
        <v>285</v>
      </c>
      <c r="F29" s="53"/>
      <c r="G29" s="12" t="s">
        <v>446</v>
      </c>
      <c r="H29" s="50" t="s">
        <v>177</v>
      </c>
      <c r="I29" s="50" t="str">
        <f t="shared" si="0"/>
        <v>Syamsuddin, S.Pd</v>
      </c>
      <c r="J29" s="51" t="s">
        <v>127</v>
      </c>
      <c r="K29" s="102" t="str">
        <f t="shared" si="1"/>
        <v>Laki-laki</v>
      </c>
      <c r="L29" s="112" t="s">
        <v>447</v>
      </c>
      <c r="M29" s="305">
        <v>33854</v>
      </c>
      <c r="N29" s="119" t="str">
        <f ca="1" t="shared" si="2"/>
        <v>33 Tahun 1 Bulan </v>
      </c>
      <c r="O29" s="306" t="str">
        <f t="shared" si="6"/>
        <v>07 September 1992</v>
      </c>
      <c r="P29" s="52">
        <f ca="1" t="shared" si="7"/>
        <v>33</v>
      </c>
      <c r="Q29" s="52" t="str">
        <f ca="1" t="shared" si="8"/>
        <v>OKE</v>
      </c>
      <c r="R29" s="12" t="s">
        <v>448</v>
      </c>
      <c r="S29" s="53"/>
      <c r="T29" s="60"/>
      <c r="U29" s="108" t="s">
        <v>83</v>
      </c>
      <c r="V29" s="12" t="s">
        <v>290</v>
      </c>
      <c r="W29" s="59" t="s">
        <v>112</v>
      </c>
      <c r="X29" s="12" t="s">
        <v>449</v>
      </c>
      <c r="Y29" s="12">
        <v>15</v>
      </c>
      <c r="Z29" s="12">
        <v>0</v>
      </c>
      <c r="AA29" s="53"/>
      <c r="AB29" s="59" t="s">
        <v>450</v>
      </c>
      <c r="AC29" s="108">
        <v>77371</v>
      </c>
      <c r="AD29" s="193" t="s">
        <v>399</v>
      </c>
      <c r="AE29" s="12"/>
      <c r="AF29" s="12" t="s">
        <v>451</v>
      </c>
      <c r="AG29" s="213" t="s">
        <v>452</v>
      </c>
      <c r="AH29" s="53"/>
      <c r="AI29" s="53"/>
      <c r="AJ29" s="12" t="s">
        <v>453</v>
      </c>
      <c r="AK29" s="222">
        <v>42212</v>
      </c>
      <c r="AL29" s="119" t="str">
        <f ca="1" t="shared" si="5"/>
        <v>10 Tahun 3 Bulan </v>
      </c>
      <c r="AM29" s="12" t="s">
        <v>309</v>
      </c>
      <c r="AN29" s="215" t="s">
        <v>93</v>
      </c>
      <c r="AO29" s="59" t="s">
        <v>454</v>
      </c>
      <c r="AP29" s="59" t="s">
        <v>297</v>
      </c>
      <c r="AQ29" s="59"/>
      <c r="AR29" s="12"/>
      <c r="AS29" s="59" t="s">
        <v>232</v>
      </c>
      <c r="AT29" s="53"/>
      <c r="AU29" s="108" t="s">
        <v>356</v>
      </c>
      <c r="AV29" s="556" t="s">
        <v>455</v>
      </c>
      <c r="AW29" s="12" t="s">
        <v>100</v>
      </c>
      <c r="AX29" s="55" t="s">
        <v>101</v>
      </c>
      <c r="AY29" s="12" t="s">
        <v>456</v>
      </c>
      <c r="AZ29" s="12"/>
      <c r="BA29" s="53"/>
      <c r="BB29" s="271" t="s">
        <v>406</v>
      </c>
      <c r="BC29" s="12" t="s">
        <v>457</v>
      </c>
      <c r="BD29" s="12"/>
      <c r="BE29" s="12">
        <v>31</v>
      </c>
      <c r="BF29" s="12">
        <v>31</v>
      </c>
      <c r="BG29" s="12" t="s">
        <v>456</v>
      </c>
      <c r="BH29" s="49" t="s">
        <v>301</v>
      </c>
      <c r="BI29" s="58" t="s">
        <v>75</v>
      </c>
      <c r="BJ29" s="12" t="s">
        <v>446</v>
      </c>
      <c r="BK29" s="49">
        <v>1552232379</v>
      </c>
      <c r="BL29" s="284"/>
    </row>
    <row r="30" s="1" customFormat="1" spans="1:64">
      <c r="A30" s="54">
        <v>25</v>
      </c>
      <c r="B30" s="49">
        <v>4832</v>
      </c>
      <c r="C30" s="50" t="s">
        <v>284</v>
      </c>
      <c r="D30" s="51" t="s">
        <v>76</v>
      </c>
      <c r="E30" s="52" t="s">
        <v>285</v>
      </c>
      <c r="F30" s="53"/>
      <c r="G30" s="50" t="s">
        <v>458</v>
      </c>
      <c r="H30" s="50" t="s">
        <v>459</v>
      </c>
      <c r="I30" s="50" t="str">
        <f t="shared" si="0"/>
        <v>Happy Megasari, S.S </v>
      </c>
      <c r="J30" s="51" t="s">
        <v>80</v>
      </c>
      <c r="K30" s="102" t="str">
        <f t="shared" si="1"/>
        <v>Perempuan</v>
      </c>
      <c r="L30" s="52" t="s">
        <v>460</v>
      </c>
      <c r="M30" s="305">
        <v>30219</v>
      </c>
      <c r="N30" s="119" t="str">
        <f ca="1" t="shared" si="2"/>
        <v>43 Tahun 1 Bulan </v>
      </c>
      <c r="O30" s="306" t="str">
        <f t="shared" si="6"/>
        <v>25 September 1982</v>
      </c>
      <c r="P30" s="52">
        <f ca="1" t="shared" si="7"/>
        <v>43</v>
      </c>
      <c r="Q30" s="52" t="str">
        <f ca="1" t="shared" si="8"/>
        <v>OKE</v>
      </c>
      <c r="R30" s="557" t="s">
        <v>461</v>
      </c>
      <c r="S30" s="53"/>
      <c r="T30" s="558" t="s">
        <v>462</v>
      </c>
      <c r="U30" s="51" t="s">
        <v>83</v>
      </c>
      <c r="V30" s="12" t="s">
        <v>290</v>
      </c>
      <c r="W30" s="59" t="s">
        <v>112</v>
      </c>
      <c r="X30" s="53" t="s">
        <v>463</v>
      </c>
      <c r="Y30" s="53">
        <v>0</v>
      </c>
      <c r="Z30" s="53">
        <v>0</v>
      </c>
      <c r="AA30" s="53"/>
      <c r="AB30" s="52" t="s">
        <v>131</v>
      </c>
      <c r="AC30" s="108">
        <v>77315</v>
      </c>
      <c r="AD30" s="52" t="s">
        <v>321</v>
      </c>
      <c r="AE30" s="53"/>
      <c r="AF30" s="557" t="s">
        <v>464</v>
      </c>
      <c r="AG30" s="328" t="s">
        <v>465</v>
      </c>
      <c r="AH30" s="53"/>
      <c r="AI30" s="53"/>
      <c r="AJ30" s="50" t="s">
        <v>466</v>
      </c>
      <c r="AK30" s="221">
        <v>39448</v>
      </c>
      <c r="AL30" s="119" t="str">
        <f ca="1" t="shared" si="5"/>
        <v>17 Tahun 10 Bulan </v>
      </c>
      <c r="AM30" s="12" t="s">
        <v>309</v>
      </c>
      <c r="AN30" s="215" t="s">
        <v>93</v>
      </c>
      <c r="AO30" s="52" t="s">
        <v>467</v>
      </c>
      <c r="AP30" s="333" t="s">
        <v>95</v>
      </c>
      <c r="AQ30" s="52" t="s">
        <v>468</v>
      </c>
      <c r="AR30" s="558" t="s">
        <v>469</v>
      </c>
      <c r="AS30" s="52" t="s">
        <v>470</v>
      </c>
      <c r="AT30" s="53"/>
      <c r="AU30" s="50"/>
      <c r="AV30" s="558" t="s">
        <v>471</v>
      </c>
      <c r="AW30" s="12" t="s">
        <v>100</v>
      </c>
      <c r="AX30" s="55" t="s">
        <v>101</v>
      </c>
      <c r="AY30" s="50" t="s">
        <v>472</v>
      </c>
      <c r="AZ30" s="53"/>
      <c r="BA30" s="53"/>
      <c r="BB30" s="50"/>
      <c r="BC30" s="53" t="s">
        <v>416</v>
      </c>
      <c r="BD30" s="53"/>
      <c r="BE30" s="53">
        <v>24</v>
      </c>
      <c r="BF30" s="53">
        <v>24</v>
      </c>
      <c r="BG30" s="53" t="s">
        <v>416</v>
      </c>
      <c r="BH30" s="49" t="s">
        <v>301</v>
      </c>
      <c r="BI30" s="51" t="s">
        <v>75</v>
      </c>
      <c r="BJ30" s="53" t="s">
        <v>458</v>
      </c>
      <c r="BK30" s="283">
        <v>1422006342</v>
      </c>
      <c r="BL30" s="284"/>
    </row>
    <row r="31" s="1" customFormat="1" spans="1:64">
      <c r="A31" s="54">
        <v>26</v>
      </c>
      <c r="B31" s="49">
        <v>4884</v>
      </c>
      <c r="C31" s="50" t="s">
        <v>284</v>
      </c>
      <c r="D31" s="58" t="s">
        <v>76</v>
      </c>
      <c r="E31" s="50" t="s">
        <v>285</v>
      </c>
      <c r="F31" s="53"/>
      <c r="G31" s="50" t="s">
        <v>473</v>
      </c>
      <c r="H31" s="50"/>
      <c r="I31" s="50" t="str">
        <f t="shared" si="0"/>
        <v>Rusdiani Syamsuddi</v>
      </c>
      <c r="J31" s="51" t="s">
        <v>80</v>
      </c>
      <c r="K31" s="102" t="str">
        <f t="shared" si="1"/>
        <v>Perempuan</v>
      </c>
      <c r="L31" s="59" t="s">
        <v>75</v>
      </c>
      <c r="M31" s="305">
        <v>30382</v>
      </c>
      <c r="N31" s="119" t="str">
        <f ca="1" t="shared" si="2"/>
        <v>42 Tahun 7 Bulan </v>
      </c>
      <c r="O31" s="305">
        <v>30382</v>
      </c>
      <c r="P31" s="52">
        <f ca="1" t="shared" si="7"/>
        <v>42</v>
      </c>
      <c r="Q31" s="52" t="str">
        <f ca="1" t="shared" si="8"/>
        <v>OKE</v>
      </c>
      <c r="R31" s="12" t="s">
        <v>474</v>
      </c>
      <c r="S31" s="53"/>
      <c r="T31" s="60"/>
      <c r="U31" s="108" t="s">
        <v>129</v>
      </c>
      <c r="V31" s="12" t="s">
        <v>290</v>
      </c>
      <c r="W31" s="59" t="s">
        <v>112</v>
      </c>
      <c r="X31" s="12" t="s">
        <v>475</v>
      </c>
      <c r="Y31" s="53">
        <v>0</v>
      </c>
      <c r="Z31" s="53">
        <v>0</v>
      </c>
      <c r="AA31" s="53"/>
      <c r="AB31" s="59" t="s">
        <v>87</v>
      </c>
      <c r="AC31" s="108">
        <v>77312</v>
      </c>
      <c r="AD31" s="59" t="s">
        <v>292</v>
      </c>
      <c r="AE31" s="53"/>
      <c r="AF31" s="12" t="s">
        <v>476</v>
      </c>
      <c r="AG31" s="213" t="s">
        <v>477</v>
      </c>
      <c r="AH31" s="53"/>
      <c r="AI31" s="53"/>
      <c r="AJ31" s="12" t="s">
        <v>478</v>
      </c>
      <c r="AK31" s="222">
        <v>40545</v>
      </c>
      <c r="AL31" s="119" t="str">
        <f ca="1" t="shared" si="5"/>
        <v>14 Tahun 10 Bulan </v>
      </c>
      <c r="AM31" s="12" t="s">
        <v>92</v>
      </c>
      <c r="AN31" s="215" t="s">
        <v>93</v>
      </c>
      <c r="AO31" s="59" t="s">
        <v>479</v>
      </c>
      <c r="AP31" s="59" t="s">
        <v>95</v>
      </c>
      <c r="AQ31" s="50" t="s">
        <v>480</v>
      </c>
      <c r="AR31" s="558" t="s">
        <v>481</v>
      </c>
      <c r="AS31" s="59" t="s">
        <v>98</v>
      </c>
      <c r="AT31" s="53"/>
      <c r="AU31" s="108" t="s">
        <v>298</v>
      </c>
      <c r="AV31" s="556" t="s">
        <v>482</v>
      </c>
      <c r="AW31" s="12" t="s">
        <v>100</v>
      </c>
      <c r="AX31" s="12" t="s">
        <v>483</v>
      </c>
      <c r="AY31" s="39" t="s">
        <v>484</v>
      </c>
      <c r="AZ31" s="50"/>
      <c r="BA31" s="53"/>
      <c r="BB31" s="50"/>
      <c r="BC31" s="53"/>
      <c r="BD31" s="53"/>
      <c r="BE31" s="53"/>
      <c r="BF31" s="53"/>
      <c r="BG31" s="53"/>
      <c r="BH31" s="49" t="s">
        <v>301</v>
      </c>
      <c r="BI31" s="51" t="s">
        <v>75</v>
      </c>
      <c r="BJ31" s="50" t="s">
        <v>473</v>
      </c>
      <c r="BK31" s="283" t="s">
        <v>485</v>
      </c>
      <c r="BL31" s="284"/>
    </row>
    <row r="32" s="1" customFormat="1" spans="1:64">
      <c r="A32" s="54">
        <v>27</v>
      </c>
      <c r="B32" s="49">
        <v>4882</v>
      </c>
      <c r="C32" s="50" t="s">
        <v>284</v>
      </c>
      <c r="D32" s="51" t="s">
        <v>76</v>
      </c>
      <c r="E32" s="52" t="s">
        <v>285</v>
      </c>
      <c r="F32" s="53"/>
      <c r="G32" s="12" t="s">
        <v>486</v>
      </c>
      <c r="H32" s="50"/>
      <c r="I32" s="50" t="str">
        <f t="shared" si="0"/>
        <v>Adji Farreza Artrihadie</v>
      </c>
      <c r="J32" s="51" t="s">
        <v>127</v>
      </c>
      <c r="K32" s="102" t="str">
        <f t="shared" si="1"/>
        <v>Laki-laki</v>
      </c>
      <c r="L32" s="112" t="s">
        <v>75</v>
      </c>
      <c r="M32" s="305">
        <v>33838</v>
      </c>
      <c r="N32" s="119" t="str">
        <f ca="1" t="shared" si="2"/>
        <v>33 Tahun 2 Bulan </v>
      </c>
      <c r="O32" s="305">
        <v>33838</v>
      </c>
      <c r="P32" s="52">
        <f ca="1" t="shared" si="7"/>
        <v>33</v>
      </c>
      <c r="Q32" s="52" t="str">
        <f ca="1" t="shared" si="8"/>
        <v>OKE</v>
      </c>
      <c r="R32" s="12" t="s">
        <v>487</v>
      </c>
      <c r="S32" s="53"/>
      <c r="T32" s="53"/>
      <c r="U32" s="108" t="s">
        <v>129</v>
      </c>
      <c r="V32" s="12" t="s">
        <v>290</v>
      </c>
      <c r="W32" s="59" t="s">
        <v>112</v>
      </c>
      <c r="X32" s="12" t="s">
        <v>488</v>
      </c>
      <c r="Y32" s="12">
        <v>3</v>
      </c>
      <c r="Z32" s="53">
        <v>0</v>
      </c>
      <c r="AA32" s="53"/>
      <c r="AB32" s="59" t="s">
        <v>209</v>
      </c>
      <c r="AC32" s="58">
        <v>77352</v>
      </c>
      <c r="AD32" s="59" t="s">
        <v>438</v>
      </c>
      <c r="AE32" s="53"/>
      <c r="AF32" s="12" t="s">
        <v>489</v>
      </c>
      <c r="AG32" s="12" t="s">
        <v>490</v>
      </c>
      <c r="AH32" s="53"/>
      <c r="AI32" s="53"/>
      <c r="AJ32" s="12" t="s">
        <v>491</v>
      </c>
      <c r="AK32" s="222">
        <v>42217</v>
      </c>
      <c r="AL32" s="119" t="str">
        <f ca="1" t="shared" si="5"/>
        <v>10 Tahun 3 Bulan </v>
      </c>
      <c r="AM32" s="12" t="s">
        <v>309</v>
      </c>
      <c r="AN32" s="215" t="s">
        <v>93</v>
      </c>
      <c r="AO32" s="59" t="s">
        <v>492</v>
      </c>
      <c r="AP32" s="59" t="s">
        <v>95</v>
      </c>
      <c r="AQ32" s="50" t="s">
        <v>493</v>
      </c>
      <c r="AR32" s="53"/>
      <c r="AS32" s="59" t="s">
        <v>232</v>
      </c>
      <c r="AT32" s="53"/>
      <c r="AU32" s="108" t="s">
        <v>298</v>
      </c>
      <c r="AV32" s="271" t="s">
        <v>494</v>
      </c>
      <c r="AW32" s="12" t="s">
        <v>100</v>
      </c>
      <c r="AX32" s="12" t="s">
        <v>483</v>
      </c>
      <c r="AY32" s="39" t="s">
        <v>484</v>
      </c>
      <c r="AZ32" s="342"/>
      <c r="BA32" s="53"/>
      <c r="BB32" s="50"/>
      <c r="BC32" s="53"/>
      <c r="BD32" s="53"/>
      <c r="BE32" s="53"/>
      <c r="BF32" s="53"/>
      <c r="BG32" s="53"/>
      <c r="BH32" s="49" t="s">
        <v>301</v>
      </c>
      <c r="BI32" s="51" t="s">
        <v>75</v>
      </c>
      <c r="BJ32" s="342" t="s">
        <v>486</v>
      </c>
      <c r="BK32" s="348" t="s">
        <v>495</v>
      </c>
      <c r="BL32" s="284"/>
    </row>
    <row r="33" s="1" customFormat="1" spans="1:64">
      <c r="A33" s="54">
        <v>28</v>
      </c>
      <c r="B33" s="49">
        <v>4885</v>
      </c>
      <c r="C33" s="50" t="s">
        <v>284</v>
      </c>
      <c r="D33" s="58" t="s">
        <v>76</v>
      </c>
      <c r="E33" s="50" t="s">
        <v>285</v>
      </c>
      <c r="F33" s="53"/>
      <c r="G33" s="12" t="s">
        <v>496</v>
      </c>
      <c r="H33" s="50"/>
      <c r="I33" s="50" t="str">
        <f t="shared" si="0"/>
        <v>Abdul gani</v>
      </c>
      <c r="J33" s="51" t="s">
        <v>127</v>
      </c>
      <c r="K33" s="102" t="str">
        <f t="shared" si="1"/>
        <v>Laki-laki</v>
      </c>
      <c r="L33" s="112" t="s">
        <v>497</v>
      </c>
      <c r="M33" s="305">
        <v>25117</v>
      </c>
      <c r="N33" s="119" t="str">
        <f ca="1" t="shared" si="2"/>
        <v>57 Tahun 0 Bulan </v>
      </c>
      <c r="O33" s="305">
        <v>25117</v>
      </c>
      <c r="P33" s="52">
        <f ca="1" t="shared" si="7"/>
        <v>57</v>
      </c>
      <c r="Q33" s="52" t="str">
        <f ca="1" t="shared" si="8"/>
        <v>Lewat</v>
      </c>
      <c r="R33" s="12" t="s">
        <v>498</v>
      </c>
      <c r="S33" s="53"/>
      <c r="T33" s="60" t="s">
        <v>499</v>
      </c>
      <c r="U33" s="108" t="s">
        <v>129</v>
      </c>
      <c r="V33" s="12" t="s">
        <v>290</v>
      </c>
      <c r="W33" s="59" t="s">
        <v>112</v>
      </c>
      <c r="X33" s="12" t="s">
        <v>148</v>
      </c>
      <c r="Y33" s="53">
        <v>0</v>
      </c>
      <c r="Z33" s="53">
        <v>0</v>
      </c>
      <c r="AA33" s="53"/>
      <c r="AB33" s="59" t="s">
        <v>500</v>
      </c>
      <c r="AC33" s="108">
        <v>77311</v>
      </c>
      <c r="AD33" s="59" t="s">
        <v>321</v>
      </c>
      <c r="AE33" s="53"/>
      <c r="AF33" s="12" t="s">
        <v>501</v>
      </c>
      <c r="AG33" s="12" t="s">
        <v>502</v>
      </c>
      <c r="AH33" s="53"/>
      <c r="AI33" s="53"/>
      <c r="AJ33" s="12" t="s">
        <v>503</v>
      </c>
      <c r="AK33" s="222">
        <v>37830</v>
      </c>
      <c r="AL33" s="119" t="str">
        <f ca="1" t="shared" si="5"/>
        <v>22 Tahun 3 Bulan </v>
      </c>
      <c r="AM33" s="12" t="s">
        <v>309</v>
      </c>
      <c r="AN33" s="215" t="s">
        <v>93</v>
      </c>
      <c r="AO33" s="59" t="s">
        <v>504</v>
      </c>
      <c r="AP33" s="59" t="s">
        <v>95</v>
      </c>
      <c r="AQ33" s="52" t="s">
        <v>505</v>
      </c>
      <c r="AR33" s="53"/>
      <c r="AS33" s="59" t="s">
        <v>232</v>
      </c>
      <c r="AT33" s="53"/>
      <c r="AU33" s="108" t="s">
        <v>298</v>
      </c>
      <c r="AV33" s="12" t="s">
        <v>506</v>
      </c>
      <c r="AW33" s="12" t="s">
        <v>100</v>
      </c>
      <c r="AX33" s="55" t="s">
        <v>507</v>
      </c>
      <c r="AY33" s="12"/>
      <c r="AZ33" s="53"/>
      <c r="BA33" s="53"/>
      <c r="BB33" s="50"/>
      <c r="BC33" s="53"/>
      <c r="BD33" s="53"/>
      <c r="BE33" s="53"/>
      <c r="BF33" s="53"/>
      <c r="BG33" s="53"/>
      <c r="BH33" s="49" t="s">
        <v>301</v>
      </c>
      <c r="BI33" s="58" t="s">
        <v>75</v>
      </c>
      <c r="BJ33" s="53" t="s">
        <v>508</v>
      </c>
      <c r="BK33" s="283">
        <v>1552232336</v>
      </c>
      <c r="BL33" s="284"/>
    </row>
    <row r="34" customFormat="1" spans="1:63">
      <c r="A34" s="54">
        <v>29</v>
      </c>
      <c r="B34" s="54">
        <v>5367</v>
      </c>
      <c r="C34" s="54" t="s">
        <v>509</v>
      </c>
      <c r="D34" s="52" t="s">
        <v>76</v>
      </c>
      <c r="E34" s="54" t="s">
        <v>510</v>
      </c>
      <c r="F34" s="54"/>
      <c r="G34" s="296" t="s">
        <v>511</v>
      </c>
      <c r="H34" s="297"/>
      <c r="I34" s="113" t="str">
        <f t="shared" si="0"/>
        <v>Antonius Sinar</v>
      </c>
      <c r="J34" s="297" t="s">
        <v>127</v>
      </c>
      <c r="K34" s="102" t="str">
        <f t="shared" si="1"/>
        <v>Laki-laki</v>
      </c>
      <c r="L34" s="307" t="s">
        <v>512</v>
      </c>
      <c r="M34" s="308">
        <v>25370</v>
      </c>
      <c r="N34" s="115" t="str">
        <f ca="1" t="shared" si="2"/>
        <v>56 Tahun 4 Bulan </v>
      </c>
      <c r="O34" s="559" t="s">
        <v>513</v>
      </c>
      <c r="P34" s="105" t="e">
        <f ca="1" t="shared" si="7"/>
        <v>#VALUE!</v>
      </c>
      <c r="Q34" s="105" t="e">
        <f ca="1" t="shared" si="8"/>
        <v>#VALUE!</v>
      </c>
      <c r="R34" s="560" t="s">
        <v>514</v>
      </c>
      <c r="S34" s="54"/>
      <c r="T34" s="54"/>
      <c r="U34" s="54" t="s">
        <v>83</v>
      </c>
      <c r="V34" s="54" t="s">
        <v>515</v>
      </c>
      <c r="W34" s="52" t="s">
        <v>516</v>
      </c>
      <c r="X34" s="12" t="s">
        <v>517</v>
      </c>
      <c r="Y34" s="60"/>
      <c r="Z34" s="54"/>
      <c r="AA34" s="54"/>
      <c r="AB34" s="54" t="s">
        <v>518</v>
      </c>
      <c r="AC34" s="194">
        <v>77372</v>
      </c>
      <c r="AD34" s="194" t="s">
        <v>518</v>
      </c>
      <c r="AE34" s="54"/>
      <c r="AF34" s="12" t="s">
        <v>519</v>
      </c>
      <c r="AG34" s="329" t="s">
        <v>520</v>
      </c>
      <c r="AH34" s="54"/>
      <c r="AI34" s="54"/>
      <c r="AJ34" s="54" t="s">
        <v>521</v>
      </c>
      <c r="AK34" s="194"/>
      <c r="AL34" s="115"/>
      <c r="AM34" s="54" t="s">
        <v>92</v>
      </c>
      <c r="AN34" s="54" t="s">
        <v>93</v>
      </c>
      <c r="AO34" s="12" t="s">
        <v>522</v>
      </c>
      <c r="AP34" s="12" t="s">
        <v>95</v>
      </c>
      <c r="AQ34" s="12" t="s">
        <v>523</v>
      </c>
      <c r="AR34" s="334"/>
      <c r="AS34" s="12" t="s">
        <v>232</v>
      </c>
      <c r="AT34" s="54"/>
      <c r="AU34" s="54"/>
      <c r="AV34" s="54"/>
      <c r="AW34" s="52" t="s">
        <v>100</v>
      </c>
      <c r="AX34" s="52" t="s">
        <v>299</v>
      </c>
      <c r="AY34" s="54" t="s">
        <v>524</v>
      </c>
      <c r="AZ34" s="54"/>
      <c r="BA34" s="54" t="s">
        <v>525</v>
      </c>
      <c r="BB34" s="54"/>
      <c r="BC34" s="54"/>
      <c r="BD34" s="54"/>
      <c r="BE34" s="54"/>
      <c r="BF34" s="54"/>
      <c r="BG34" s="54"/>
      <c r="BH34" s="281" t="s">
        <v>526</v>
      </c>
      <c r="BI34" s="54" t="s">
        <v>88</v>
      </c>
      <c r="BJ34" s="296" t="s">
        <v>527</v>
      </c>
      <c r="BK34" s="561" t="s">
        <v>528</v>
      </c>
    </row>
    <row r="35" customFormat="1" spans="1:63">
      <c r="A35" s="54">
        <v>30</v>
      </c>
      <c r="B35" s="54">
        <v>2681</v>
      </c>
      <c r="C35" s="54" t="s">
        <v>509</v>
      </c>
      <c r="D35" s="52" t="s">
        <v>76</v>
      </c>
      <c r="E35" s="54" t="s">
        <v>510</v>
      </c>
      <c r="F35" s="54"/>
      <c r="G35" s="296" t="s">
        <v>529</v>
      </c>
      <c r="H35" s="297" t="s">
        <v>177</v>
      </c>
      <c r="I35" s="113" t="str">
        <f t="shared" si="0"/>
        <v>Anwar, S.Pd</v>
      </c>
      <c r="J35" s="297" t="s">
        <v>127</v>
      </c>
      <c r="K35" s="102" t="str">
        <f t="shared" si="1"/>
        <v>Laki-laki</v>
      </c>
      <c r="L35" s="307" t="s">
        <v>530</v>
      </c>
      <c r="M35" s="309">
        <v>33858</v>
      </c>
      <c r="N35" s="115" t="str">
        <f ca="1" t="shared" si="2"/>
        <v>33 Tahun 1 Bulan </v>
      </c>
      <c r="O35" s="559" t="s">
        <v>531</v>
      </c>
      <c r="P35" s="105">
        <f ca="1" t="shared" si="7"/>
        <v>33</v>
      </c>
      <c r="Q35" s="105" t="str">
        <f ca="1" t="shared" si="8"/>
        <v>OKE</v>
      </c>
      <c r="R35" s="560" t="s">
        <v>532</v>
      </c>
      <c r="S35" s="54"/>
      <c r="T35" s="54"/>
      <c r="U35" s="54" t="s">
        <v>83</v>
      </c>
      <c r="V35" s="54" t="s">
        <v>515</v>
      </c>
      <c r="W35" s="52" t="s">
        <v>112</v>
      </c>
      <c r="X35" s="12" t="s">
        <v>533</v>
      </c>
      <c r="Y35" s="60">
        <v>6</v>
      </c>
      <c r="Z35" s="54"/>
      <c r="AA35" s="54"/>
      <c r="AB35" s="54" t="s">
        <v>518</v>
      </c>
      <c r="AC35" s="194">
        <v>77372</v>
      </c>
      <c r="AD35" s="194" t="s">
        <v>518</v>
      </c>
      <c r="AE35" s="54"/>
      <c r="AF35" s="12" t="s">
        <v>534</v>
      </c>
      <c r="AG35" s="329" t="s">
        <v>535</v>
      </c>
      <c r="AH35" s="54"/>
      <c r="AI35" s="54"/>
      <c r="AJ35" s="54" t="s">
        <v>402</v>
      </c>
      <c r="AK35" s="217">
        <v>42217</v>
      </c>
      <c r="AL35" s="115" t="str">
        <f ca="1" t="shared" ref="AL35:AL98" si="9">+DATEDIF(AK35,NOW(),"Y")&amp;" Tahun "&amp;+DATEDIF(AK35,NOW(),"YM")&amp;" Bulan "</f>
        <v>10 Tahun 3 Bulan </v>
      </c>
      <c r="AM35" s="54" t="s">
        <v>309</v>
      </c>
      <c r="AN35" s="54" t="s">
        <v>93</v>
      </c>
      <c r="AO35" s="12" t="s">
        <v>536</v>
      </c>
      <c r="AP35" s="12" t="s">
        <v>297</v>
      </c>
      <c r="AQ35" s="12"/>
      <c r="AR35" s="334"/>
      <c r="AS35" s="12"/>
      <c r="AT35" s="54"/>
      <c r="AU35" s="54"/>
      <c r="AV35" s="54"/>
      <c r="AW35" s="52" t="s">
        <v>100</v>
      </c>
      <c r="AX35" s="52" t="s">
        <v>101</v>
      </c>
      <c r="AY35" s="54" t="s">
        <v>537</v>
      </c>
      <c r="AZ35" s="54">
        <v>156</v>
      </c>
      <c r="BA35" s="54" t="s">
        <v>525</v>
      </c>
      <c r="BB35" s="54"/>
      <c r="BC35" s="54" t="s">
        <v>313</v>
      </c>
      <c r="BD35" s="54"/>
      <c r="BE35" s="54">
        <v>24</v>
      </c>
      <c r="BF35" s="54">
        <v>24</v>
      </c>
      <c r="BG35" s="349"/>
      <c r="BH35" s="281" t="s">
        <v>526</v>
      </c>
      <c r="BI35" s="54" t="s">
        <v>88</v>
      </c>
      <c r="BJ35" s="296" t="s">
        <v>538</v>
      </c>
      <c r="BK35" s="561" t="s">
        <v>539</v>
      </c>
    </row>
    <row r="36" customFormat="1" spans="1:63">
      <c r="A36" s="54">
        <v>31</v>
      </c>
      <c r="B36" s="54">
        <v>5368</v>
      </c>
      <c r="C36" s="54" t="s">
        <v>509</v>
      </c>
      <c r="D36" s="52" t="s">
        <v>76</v>
      </c>
      <c r="E36" s="54" t="s">
        <v>510</v>
      </c>
      <c r="F36" s="54"/>
      <c r="G36" s="296" t="s">
        <v>540</v>
      </c>
      <c r="H36" s="297" t="s">
        <v>177</v>
      </c>
      <c r="I36" s="113" t="str">
        <f t="shared" si="0"/>
        <v>Bayu Pradana Putra, S.Pd</v>
      </c>
      <c r="J36" s="297" t="s">
        <v>127</v>
      </c>
      <c r="K36" s="102" t="str">
        <f t="shared" si="1"/>
        <v>Laki-laki</v>
      </c>
      <c r="L36" s="307" t="s">
        <v>541</v>
      </c>
      <c r="M36" s="309">
        <v>33448</v>
      </c>
      <c r="N36" s="115" t="str">
        <f ca="1" t="shared" si="2"/>
        <v>34 Tahun 3 Bulan </v>
      </c>
      <c r="O36" s="559" t="s">
        <v>542</v>
      </c>
      <c r="P36" s="105" t="e">
        <f ca="1" t="shared" si="7"/>
        <v>#VALUE!</v>
      </c>
      <c r="Q36" s="105" t="e">
        <f ca="1" t="shared" si="8"/>
        <v>#VALUE!</v>
      </c>
      <c r="R36" s="560" t="s">
        <v>543</v>
      </c>
      <c r="S36" s="54"/>
      <c r="T36" s="54"/>
      <c r="U36" s="54" t="s">
        <v>83</v>
      </c>
      <c r="V36" s="54" t="s">
        <v>515</v>
      </c>
      <c r="W36" s="52" t="s">
        <v>112</v>
      </c>
      <c r="X36" s="12" t="s">
        <v>544</v>
      </c>
      <c r="Y36" s="60">
        <v>8</v>
      </c>
      <c r="Z36" s="54"/>
      <c r="AA36" s="54"/>
      <c r="AB36" s="54" t="s">
        <v>518</v>
      </c>
      <c r="AC36" s="194">
        <v>77372</v>
      </c>
      <c r="AD36" s="194" t="s">
        <v>518</v>
      </c>
      <c r="AE36" s="54"/>
      <c r="AF36" s="12" t="s">
        <v>545</v>
      </c>
      <c r="AG36" s="329" t="s">
        <v>546</v>
      </c>
      <c r="AH36" s="54"/>
      <c r="AI36" s="54"/>
      <c r="AJ36" s="54" t="s">
        <v>547</v>
      </c>
      <c r="AK36" s="217">
        <v>42370</v>
      </c>
      <c r="AL36" s="115" t="str">
        <f ca="1" t="shared" si="9"/>
        <v>9 Tahun 10 Bulan </v>
      </c>
      <c r="AM36" s="54" t="s">
        <v>309</v>
      </c>
      <c r="AN36" s="54" t="s">
        <v>93</v>
      </c>
      <c r="AO36" s="12" t="s">
        <v>548</v>
      </c>
      <c r="AP36" s="12" t="s">
        <v>297</v>
      </c>
      <c r="AQ36" s="12"/>
      <c r="AR36" s="334"/>
      <c r="AS36" s="12"/>
      <c r="AT36" s="54"/>
      <c r="AU36" s="54"/>
      <c r="AV36" s="54" t="s">
        <v>549</v>
      </c>
      <c r="AW36" s="52" t="s">
        <v>100</v>
      </c>
      <c r="AX36" s="52" t="s">
        <v>101</v>
      </c>
      <c r="AY36" s="54" t="s">
        <v>550</v>
      </c>
      <c r="AZ36" s="54">
        <v>157</v>
      </c>
      <c r="BA36" s="54" t="s">
        <v>525</v>
      </c>
      <c r="BB36" s="54"/>
      <c r="BC36" s="54" t="s">
        <v>551</v>
      </c>
      <c r="BD36" s="54"/>
      <c r="BE36" s="54">
        <v>22</v>
      </c>
      <c r="BF36" s="54">
        <v>22</v>
      </c>
      <c r="BG36" s="54"/>
      <c r="BH36" s="281" t="s">
        <v>526</v>
      </c>
      <c r="BI36" s="54" t="s">
        <v>88</v>
      </c>
      <c r="BJ36" s="296" t="s">
        <v>552</v>
      </c>
      <c r="BK36" s="561" t="s">
        <v>553</v>
      </c>
    </row>
    <row r="37" customFormat="1" spans="1:63">
      <c r="A37" s="54">
        <v>32</v>
      </c>
      <c r="B37" s="54">
        <v>2678</v>
      </c>
      <c r="C37" s="54" t="s">
        <v>509</v>
      </c>
      <c r="D37" s="52" t="s">
        <v>76</v>
      </c>
      <c r="E37" s="54" t="s">
        <v>510</v>
      </c>
      <c r="F37" s="54"/>
      <c r="G37" s="296" t="s">
        <v>554</v>
      </c>
      <c r="H37" s="297" t="s">
        <v>161</v>
      </c>
      <c r="I37" s="113" t="str">
        <f t="shared" si="0"/>
        <v>Eron Saputra, SE</v>
      </c>
      <c r="J37" s="297" t="s">
        <v>127</v>
      </c>
      <c r="K37" s="102" t="str">
        <f t="shared" si="1"/>
        <v>Laki-laki</v>
      </c>
      <c r="L37" s="307" t="s">
        <v>518</v>
      </c>
      <c r="M37" s="309">
        <v>30389</v>
      </c>
      <c r="N37" s="115" t="str">
        <f ca="1" t="shared" si="2"/>
        <v>42 Tahun 7 Bulan </v>
      </c>
      <c r="O37" s="559" t="s">
        <v>555</v>
      </c>
      <c r="P37" s="105" t="e">
        <f ca="1" t="shared" si="7"/>
        <v>#VALUE!</v>
      </c>
      <c r="Q37" s="105" t="e">
        <f ca="1" t="shared" si="8"/>
        <v>#VALUE!</v>
      </c>
      <c r="R37" s="560" t="s">
        <v>556</v>
      </c>
      <c r="S37" s="54"/>
      <c r="T37" s="54"/>
      <c r="U37" s="54" t="s">
        <v>83</v>
      </c>
      <c r="V37" s="54" t="s">
        <v>515</v>
      </c>
      <c r="W37" s="52" t="s">
        <v>112</v>
      </c>
      <c r="X37" s="12" t="s">
        <v>557</v>
      </c>
      <c r="Y37" s="60">
        <v>4</v>
      </c>
      <c r="Z37" s="54"/>
      <c r="AA37" s="54"/>
      <c r="AB37" s="54" t="s">
        <v>518</v>
      </c>
      <c r="AC37" s="194">
        <v>77372</v>
      </c>
      <c r="AD37" s="194" t="s">
        <v>518</v>
      </c>
      <c r="AE37" s="54"/>
      <c r="AF37" s="556" t="s">
        <v>558</v>
      </c>
      <c r="AG37" s="329" t="s">
        <v>559</v>
      </c>
      <c r="AH37" s="54"/>
      <c r="AI37" s="54"/>
      <c r="AJ37" s="54" t="s">
        <v>560</v>
      </c>
      <c r="AK37" s="217">
        <v>40179</v>
      </c>
      <c r="AL37" s="115" t="str">
        <f ca="1" t="shared" si="9"/>
        <v>15 Tahun 10 Bulan </v>
      </c>
      <c r="AM37" s="54" t="s">
        <v>92</v>
      </c>
      <c r="AN37" s="54" t="s">
        <v>93</v>
      </c>
      <c r="AO37" s="12" t="s">
        <v>561</v>
      </c>
      <c r="AP37" s="12" t="s">
        <v>95</v>
      </c>
      <c r="AQ37" s="12" t="s">
        <v>562</v>
      </c>
      <c r="AR37" s="334"/>
      <c r="AS37" s="12" t="s">
        <v>232</v>
      </c>
      <c r="AT37" s="54"/>
      <c r="AU37" s="54"/>
      <c r="AV37" s="54"/>
      <c r="AW37" s="52" t="s">
        <v>100</v>
      </c>
      <c r="AX37" s="52" t="s">
        <v>101</v>
      </c>
      <c r="AY37" s="54" t="s">
        <v>563</v>
      </c>
      <c r="AZ37" s="54"/>
      <c r="BA37" s="54" t="s">
        <v>525</v>
      </c>
      <c r="BB37" s="54"/>
      <c r="BC37" s="54" t="s">
        <v>564</v>
      </c>
      <c r="BD37" s="54"/>
      <c r="BE37" s="54">
        <v>24</v>
      </c>
      <c r="BF37" s="54">
        <v>24</v>
      </c>
      <c r="BG37" s="54"/>
      <c r="BH37" s="281" t="s">
        <v>526</v>
      </c>
      <c r="BI37" s="54" t="s">
        <v>88</v>
      </c>
      <c r="BJ37" s="296" t="s">
        <v>565</v>
      </c>
      <c r="BK37" s="561" t="s">
        <v>566</v>
      </c>
    </row>
    <row r="38" customFormat="1" spans="1:63">
      <c r="A38" s="54">
        <v>33</v>
      </c>
      <c r="B38" s="54">
        <v>5762</v>
      </c>
      <c r="C38" s="54" t="s">
        <v>509</v>
      </c>
      <c r="D38" s="52" t="s">
        <v>76</v>
      </c>
      <c r="E38" s="54" t="s">
        <v>510</v>
      </c>
      <c r="F38" s="54"/>
      <c r="G38" s="296" t="s">
        <v>567</v>
      </c>
      <c r="H38" s="297" t="s">
        <v>177</v>
      </c>
      <c r="I38" s="113" t="str">
        <f t="shared" si="0"/>
        <v>Hariani, S.Pd</v>
      </c>
      <c r="J38" s="297" t="s">
        <v>80</v>
      </c>
      <c r="K38" s="102" t="str">
        <f t="shared" si="1"/>
        <v>Perempuan</v>
      </c>
      <c r="L38" s="307" t="s">
        <v>568</v>
      </c>
      <c r="M38" s="309">
        <v>33559</v>
      </c>
      <c r="N38" s="115" t="str">
        <f ca="1" t="shared" si="2"/>
        <v>33 Tahun 11 Bulan </v>
      </c>
      <c r="O38" s="559" t="s">
        <v>569</v>
      </c>
      <c r="P38" s="105">
        <f ca="1" t="shared" si="7"/>
        <v>33</v>
      </c>
      <c r="Q38" s="105" t="str">
        <f ca="1" t="shared" si="8"/>
        <v>OKE</v>
      </c>
      <c r="R38" s="560" t="s">
        <v>570</v>
      </c>
      <c r="S38" s="54"/>
      <c r="T38" s="54"/>
      <c r="U38" s="54" t="s">
        <v>83</v>
      </c>
      <c r="V38" s="54" t="s">
        <v>515</v>
      </c>
      <c r="W38" s="52" t="s">
        <v>112</v>
      </c>
      <c r="X38" s="12" t="s">
        <v>533</v>
      </c>
      <c r="Y38" s="60">
        <v>6</v>
      </c>
      <c r="Z38" s="54"/>
      <c r="AA38" s="54"/>
      <c r="AB38" s="54" t="s">
        <v>518</v>
      </c>
      <c r="AC38" s="194">
        <v>77372</v>
      </c>
      <c r="AD38" s="194" t="s">
        <v>518</v>
      </c>
      <c r="AE38" s="54"/>
      <c r="AF38" s="556" t="s">
        <v>571</v>
      </c>
      <c r="AG38" s="329" t="s">
        <v>572</v>
      </c>
      <c r="AH38" s="54"/>
      <c r="AI38" s="54"/>
      <c r="AJ38" s="54" t="s">
        <v>573</v>
      </c>
      <c r="AK38" s="217">
        <v>42370</v>
      </c>
      <c r="AL38" s="115" t="str">
        <f ca="1" t="shared" si="9"/>
        <v>9 Tahun 10 Bulan </v>
      </c>
      <c r="AM38" s="54" t="s">
        <v>92</v>
      </c>
      <c r="AN38" s="54" t="s">
        <v>93</v>
      </c>
      <c r="AO38" s="12" t="s">
        <v>574</v>
      </c>
      <c r="AP38" s="12" t="s">
        <v>297</v>
      </c>
      <c r="AQ38" s="12"/>
      <c r="AR38" s="334"/>
      <c r="AS38" s="12"/>
      <c r="AT38" s="54"/>
      <c r="AU38" s="54"/>
      <c r="AV38" s="54"/>
      <c r="AW38" s="52" t="s">
        <v>100</v>
      </c>
      <c r="AX38" s="52" t="s">
        <v>101</v>
      </c>
      <c r="AY38" s="54" t="s">
        <v>575</v>
      </c>
      <c r="AZ38" s="54">
        <v>217</v>
      </c>
      <c r="BA38" s="54" t="s">
        <v>525</v>
      </c>
      <c r="BB38" s="54"/>
      <c r="BC38" s="54" t="s">
        <v>416</v>
      </c>
      <c r="BD38" s="54"/>
      <c r="BE38" s="54">
        <v>24</v>
      </c>
      <c r="BF38" s="54">
        <v>24</v>
      </c>
      <c r="BG38" s="54"/>
      <c r="BH38" s="281" t="s">
        <v>526</v>
      </c>
      <c r="BI38" s="54" t="s">
        <v>88</v>
      </c>
      <c r="BJ38" s="296" t="s">
        <v>576</v>
      </c>
      <c r="BK38" s="561" t="s">
        <v>577</v>
      </c>
    </row>
    <row r="39" customFormat="1" spans="1:63">
      <c r="A39" s="54">
        <v>34</v>
      </c>
      <c r="B39" s="54">
        <v>2682</v>
      </c>
      <c r="C39" s="54" t="s">
        <v>509</v>
      </c>
      <c r="D39" s="52" t="s">
        <v>76</v>
      </c>
      <c r="E39" s="54" t="s">
        <v>510</v>
      </c>
      <c r="F39" s="54"/>
      <c r="G39" s="296" t="s">
        <v>578</v>
      </c>
      <c r="H39" s="297" t="s">
        <v>177</v>
      </c>
      <c r="I39" s="113" t="str">
        <f t="shared" si="0"/>
        <v>Hasmawati, S.Pd</v>
      </c>
      <c r="J39" s="297" t="s">
        <v>80</v>
      </c>
      <c r="K39" s="102" t="str">
        <f t="shared" si="1"/>
        <v>Perempuan</v>
      </c>
      <c r="L39" s="307" t="s">
        <v>579</v>
      </c>
      <c r="M39" s="309">
        <v>33010</v>
      </c>
      <c r="N39" s="115" t="str">
        <f ca="1" t="shared" si="2"/>
        <v>35 Tahun 5 Bulan </v>
      </c>
      <c r="O39" s="559" t="s">
        <v>580</v>
      </c>
      <c r="P39" s="105" t="e">
        <f ca="1" t="shared" si="7"/>
        <v>#VALUE!</v>
      </c>
      <c r="Q39" s="105" t="e">
        <f ca="1" t="shared" si="8"/>
        <v>#VALUE!</v>
      </c>
      <c r="R39" s="560" t="s">
        <v>581</v>
      </c>
      <c r="S39" s="54"/>
      <c r="T39" s="54"/>
      <c r="U39" s="54" t="s">
        <v>83</v>
      </c>
      <c r="V39" s="54" t="s">
        <v>515</v>
      </c>
      <c r="W39" s="52" t="s">
        <v>112</v>
      </c>
      <c r="X39" s="12" t="s">
        <v>582</v>
      </c>
      <c r="Y39" s="60">
        <v>1</v>
      </c>
      <c r="Z39" s="54"/>
      <c r="AA39" s="54"/>
      <c r="AB39" s="54" t="s">
        <v>518</v>
      </c>
      <c r="AC39" s="194">
        <v>77372</v>
      </c>
      <c r="AD39" s="194" t="s">
        <v>518</v>
      </c>
      <c r="AE39" s="54"/>
      <c r="AF39" s="556" t="s">
        <v>583</v>
      </c>
      <c r="AG39" s="329" t="s">
        <v>584</v>
      </c>
      <c r="AH39" s="54"/>
      <c r="AI39" s="54"/>
      <c r="AJ39" s="54" t="s">
        <v>585</v>
      </c>
      <c r="AK39" s="217">
        <v>42005</v>
      </c>
      <c r="AL39" s="115" t="str">
        <f ca="1" t="shared" si="9"/>
        <v>10 Tahun 10 Bulan </v>
      </c>
      <c r="AM39" s="54" t="s">
        <v>92</v>
      </c>
      <c r="AN39" s="54" t="s">
        <v>93</v>
      </c>
      <c r="AO39" s="12" t="s">
        <v>586</v>
      </c>
      <c r="AP39" s="12" t="s">
        <v>95</v>
      </c>
      <c r="AQ39" s="12" t="s">
        <v>587</v>
      </c>
      <c r="AR39" s="334"/>
      <c r="AS39" s="12" t="s">
        <v>588</v>
      </c>
      <c r="AT39" s="54"/>
      <c r="AU39" s="54"/>
      <c r="AV39" s="54"/>
      <c r="AW39" s="52" t="s">
        <v>100</v>
      </c>
      <c r="AX39" s="52" t="s">
        <v>101</v>
      </c>
      <c r="AY39" s="54" t="s">
        <v>589</v>
      </c>
      <c r="AZ39" s="54">
        <v>214</v>
      </c>
      <c r="BA39" s="54" t="s">
        <v>525</v>
      </c>
      <c r="BB39" s="54"/>
      <c r="BC39" s="54" t="s">
        <v>590</v>
      </c>
      <c r="BD39" s="54"/>
      <c r="BE39" s="54">
        <v>26</v>
      </c>
      <c r="BF39" s="54">
        <v>26</v>
      </c>
      <c r="BG39" s="54"/>
      <c r="BH39" s="281" t="s">
        <v>526</v>
      </c>
      <c r="BI39" s="54" t="s">
        <v>88</v>
      </c>
      <c r="BJ39" s="296" t="s">
        <v>591</v>
      </c>
      <c r="BK39" s="561" t="s">
        <v>592</v>
      </c>
    </row>
    <row r="40" customFormat="1" spans="1:63">
      <c r="A40" s="54">
        <v>35</v>
      </c>
      <c r="B40" s="54">
        <v>2679</v>
      </c>
      <c r="C40" s="54" t="s">
        <v>509</v>
      </c>
      <c r="D40" s="52" t="s">
        <v>76</v>
      </c>
      <c r="E40" s="54" t="s">
        <v>510</v>
      </c>
      <c r="F40" s="54"/>
      <c r="G40" s="296" t="s">
        <v>593</v>
      </c>
      <c r="H40" s="297" t="s">
        <v>594</v>
      </c>
      <c r="I40" s="113" t="str">
        <f t="shared" si="0"/>
        <v>Paidah, S.Pdi</v>
      </c>
      <c r="J40" s="297" t="s">
        <v>80</v>
      </c>
      <c r="K40" s="102" t="str">
        <f t="shared" si="1"/>
        <v>Perempuan</v>
      </c>
      <c r="L40" s="307" t="s">
        <v>595</v>
      </c>
      <c r="M40" s="309">
        <v>31625</v>
      </c>
      <c r="N40" s="115" t="str">
        <f ca="1" t="shared" si="2"/>
        <v>39 Tahun 3 Bulan </v>
      </c>
      <c r="O40" s="559" t="s">
        <v>596</v>
      </c>
      <c r="P40" s="105" t="e">
        <f ca="1" t="shared" si="7"/>
        <v>#VALUE!</v>
      </c>
      <c r="Q40" s="105" t="e">
        <f ca="1" t="shared" si="8"/>
        <v>#VALUE!</v>
      </c>
      <c r="R40" s="560" t="s">
        <v>597</v>
      </c>
      <c r="S40" s="54"/>
      <c r="T40" s="562" t="s">
        <v>598</v>
      </c>
      <c r="U40" s="54" t="s">
        <v>83</v>
      </c>
      <c r="V40" s="54" t="s">
        <v>515</v>
      </c>
      <c r="W40" s="52" t="s">
        <v>112</v>
      </c>
      <c r="X40" s="12" t="s">
        <v>599</v>
      </c>
      <c r="Y40" s="60">
        <v>10</v>
      </c>
      <c r="Z40" s="54"/>
      <c r="AA40" s="54"/>
      <c r="AB40" s="54" t="s">
        <v>518</v>
      </c>
      <c r="AC40" s="194">
        <v>77372</v>
      </c>
      <c r="AD40" s="194" t="s">
        <v>518</v>
      </c>
      <c r="AE40" s="54"/>
      <c r="AF40" s="12" t="s">
        <v>600</v>
      </c>
      <c r="AG40" s="329" t="s">
        <v>601</v>
      </c>
      <c r="AH40" s="54"/>
      <c r="AI40" s="54"/>
      <c r="AJ40" s="54" t="s">
        <v>602</v>
      </c>
      <c r="AK40" s="217">
        <v>40364</v>
      </c>
      <c r="AL40" s="115" t="str">
        <f ca="1" t="shared" si="9"/>
        <v>15 Tahun 3 Bulan </v>
      </c>
      <c r="AM40" s="54" t="s">
        <v>92</v>
      </c>
      <c r="AN40" s="54" t="s">
        <v>93</v>
      </c>
      <c r="AO40" s="12" t="s">
        <v>603</v>
      </c>
      <c r="AP40" s="12" t="s">
        <v>95</v>
      </c>
      <c r="AQ40" s="12" t="s">
        <v>604</v>
      </c>
      <c r="AR40" s="39" t="s">
        <v>605</v>
      </c>
      <c r="AS40" s="12" t="s">
        <v>98</v>
      </c>
      <c r="AT40" s="54"/>
      <c r="AU40" s="54"/>
      <c r="AV40" s="54"/>
      <c r="AW40" s="52" t="s">
        <v>100</v>
      </c>
      <c r="AX40" s="52" t="s">
        <v>101</v>
      </c>
      <c r="AY40" s="54" t="s">
        <v>606</v>
      </c>
      <c r="AZ40" s="54">
        <v>127</v>
      </c>
      <c r="BA40" s="54" t="s">
        <v>525</v>
      </c>
      <c r="BB40" s="54"/>
      <c r="BC40" s="54" t="s">
        <v>607</v>
      </c>
      <c r="BD40" s="54"/>
      <c r="BE40" s="54">
        <v>36</v>
      </c>
      <c r="BF40" s="54">
        <v>36</v>
      </c>
      <c r="BG40" s="54"/>
      <c r="BH40" s="281" t="s">
        <v>526</v>
      </c>
      <c r="BI40" s="54" t="s">
        <v>88</v>
      </c>
      <c r="BJ40" s="296" t="s">
        <v>608</v>
      </c>
      <c r="BK40" s="561" t="s">
        <v>609</v>
      </c>
    </row>
    <row r="41" customFormat="1" spans="1:63">
      <c r="A41" s="54">
        <v>36</v>
      </c>
      <c r="B41" s="54">
        <v>2680</v>
      </c>
      <c r="C41" s="54" t="s">
        <v>509</v>
      </c>
      <c r="D41" s="52" t="s">
        <v>76</v>
      </c>
      <c r="E41" s="54" t="s">
        <v>510</v>
      </c>
      <c r="F41" s="54"/>
      <c r="G41" s="296" t="s">
        <v>610</v>
      </c>
      <c r="H41" s="297" t="s">
        <v>177</v>
      </c>
      <c r="I41" s="113" t="str">
        <f t="shared" si="0"/>
        <v>Ratnawati, S.Pd</v>
      </c>
      <c r="J41" s="297" t="s">
        <v>80</v>
      </c>
      <c r="K41" s="102" t="str">
        <f t="shared" si="1"/>
        <v>Perempuan</v>
      </c>
      <c r="L41" s="307" t="s">
        <v>611</v>
      </c>
      <c r="M41" s="309">
        <v>31179</v>
      </c>
      <c r="N41" s="115" t="str">
        <f ca="1" t="shared" si="2"/>
        <v>40 Tahun 5 Bulan </v>
      </c>
      <c r="O41" s="559" t="s">
        <v>612</v>
      </c>
      <c r="P41" s="105" t="e">
        <f ca="1" t="shared" si="7"/>
        <v>#VALUE!</v>
      </c>
      <c r="Q41" s="105" t="e">
        <f ca="1" t="shared" si="8"/>
        <v>#VALUE!</v>
      </c>
      <c r="R41" s="560" t="s">
        <v>613</v>
      </c>
      <c r="S41" s="54"/>
      <c r="T41" s="54"/>
      <c r="U41" s="54" t="s">
        <v>83</v>
      </c>
      <c r="V41" s="54" t="s">
        <v>515</v>
      </c>
      <c r="W41" s="52" t="s">
        <v>112</v>
      </c>
      <c r="X41" s="12" t="s">
        <v>533</v>
      </c>
      <c r="Y41" s="60">
        <v>6</v>
      </c>
      <c r="Z41" s="54"/>
      <c r="AA41" s="54"/>
      <c r="AB41" s="54" t="s">
        <v>518</v>
      </c>
      <c r="AC41" s="194">
        <v>77372</v>
      </c>
      <c r="AD41" s="194" t="s">
        <v>518</v>
      </c>
      <c r="AE41" s="54"/>
      <c r="AF41" s="556" t="s">
        <v>614</v>
      </c>
      <c r="AG41" s="329" t="s">
        <v>615</v>
      </c>
      <c r="AH41" s="54"/>
      <c r="AI41" s="54"/>
      <c r="AJ41" s="54" t="s">
        <v>616</v>
      </c>
      <c r="AK41" s="217">
        <v>41155</v>
      </c>
      <c r="AL41" s="115" t="str">
        <f ca="1" t="shared" si="9"/>
        <v>13 Tahun 2 Bulan </v>
      </c>
      <c r="AM41" s="12" t="s">
        <v>92</v>
      </c>
      <c r="AN41" s="54" t="s">
        <v>93</v>
      </c>
      <c r="AO41" s="39" t="s">
        <v>617</v>
      </c>
      <c r="AP41" s="12" t="s">
        <v>95</v>
      </c>
      <c r="AQ41" s="39" t="s">
        <v>618</v>
      </c>
      <c r="AR41" s="54"/>
      <c r="AS41" s="39" t="s">
        <v>188</v>
      </c>
      <c r="AT41" s="54"/>
      <c r="AU41" s="54"/>
      <c r="AV41" s="54"/>
      <c r="AW41" s="52" t="s">
        <v>100</v>
      </c>
      <c r="AX41" s="52" t="s">
        <v>101</v>
      </c>
      <c r="AY41" s="54" t="s">
        <v>619</v>
      </c>
      <c r="AZ41" s="54">
        <v>187</v>
      </c>
      <c r="BA41" s="54" t="s">
        <v>525</v>
      </c>
      <c r="BB41" s="54"/>
      <c r="BC41" s="54" t="s">
        <v>620</v>
      </c>
      <c r="BD41" s="54"/>
      <c r="BE41" s="54">
        <v>26</v>
      </c>
      <c r="BF41" s="54">
        <v>26</v>
      </c>
      <c r="BG41" s="54"/>
      <c r="BH41" s="281" t="s">
        <v>526</v>
      </c>
      <c r="BI41" s="54" t="s">
        <v>88</v>
      </c>
      <c r="BJ41" s="296" t="s">
        <v>621</v>
      </c>
      <c r="BK41" s="561" t="s">
        <v>622</v>
      </c>
    </row>
    <row r="42" customFormat="1" spans="1:63">
      <c r="A42" s="54">
        <v>37</v>
      </c>
      <c r="B42" s="54">
        <v>2683</v>
      </c>
      <c r="C42" s="54" t="s">
        <v>509</v>
      </c>
      <c r="D42" s="52" t="s">
        <v>76</v>
      </c>
      <c r="E42" s="54" t="s">
        <v>510</v>
      </c>
      <c r="F42" s="54"/>
      <c r="G42" s="12" t="s">
        <v>623</v>
      </c>
      <c r="H42" s="54"/>
      <c r="I42" s="113" t="str">
        <f t="shared" si="0"/>
        <v>Rustam</v>
      </c>
      <c r="J42" s="296" t="s">
        <v>127</v>
      </c>
      <c r="K42" s="102" t="str">
        <f t="shared" si="1"/>
        <v>Laki-laki</v>
      </c>
      <c r="L42" s="112" t="s">
        <v>518</v>
      </c>
      <c r="M42" s="114">
        <v>31011</v>
      </c>
      <c r="N42" s="115" t="str">
        <f ca="1" t="shared" si="2"/>
        <v>40 Tahun 11 Bulan </v>
      </c>
      <c r="O42" s="559" t="s">
        <v>624</v>
      </c>
      <c r="P42" s="105">
        <f ca="1" t="shared" si="7"/>
        <v>40</v>
      </c>
      <c r="Q42" s="105" t="str">
        <f ca="1" t="shared" si="8"/>
        <v>OKE</v>
      </c>
      <c r="R42" s="560" t="s">
        <v>625</v>
      </c>
      <c r="S42" s="318"/>
      <c r="T42" s="60" t="s">
        <v>626</v>
      </c>
      <c r="U42" s="52" t="s">
        <v>129</v>
      </c>
      <c r="V42" s="54" t="s">
        <v>515</v>
      </c>
      <c r="W42" s="52" t="s">
        <v>112</v>
      </c>
      <c r="X42" s="12" t="s">
        <v>627</v>
      </c>
      <c r="Y42" s="60">
        <v>4</v>
      </c>
      <c r="Z42" s="54"/>
      <c r="AA42" s="54"/>
      <c r="AB42" s="54" t="s">
        <v>518</v>
      </c>
      <c r="AC42" s="194">
        <v>77372</v>
      </c>
      <c r="AD42" s="194" t="s">
        <v>518</v>
      </c>
      <c r="AE42" s="54"/>
      <c r="AF42" s="12" t="s">
        <v>628</v>
      </c>
      <c r="AG42" s="329" t="s">
        <v>629</v>
      </c>
      <c r="AH42" s="54"/>
      <c r="AI42" s="54"/>
      <c r="AJ42" s="54" t="s">
        <v>521</v>
      </c>
      <c r="AK42" s="217">
        <v>38355</v>
      </c>
      <c r="AL42" s="115" t="str">
        <f ca="1" t="shared" si="9"/>
        <v>20 Tahun 10 Bulan </v>
      </c>
      <c r="AM42" s="54" t="s">
        <v>92</v>
      </c>
      <c r="AN42" s="54" t="s">
        <v>93</v>
      </c>
      <c r="AO42" s="12" t="s">
        <v>630</v>
      </c>
      <c r="AP42" s="12" t="s">
        <v>95</v>
      </c>
      <c r="AQ42" s="12" t="s">
        <v>631</v>
      </c>
      <c r="AR42" s="54"/>
      <c r="AS42" s="12" t="s">
        <v>232</v>
      </c>
      <c r="AT42" s="54"/>
      <c r="AU42" s="54"/>
      <c r="AV42" s="54"/>
      <c r="AW42" s="52" t="s">
        <v>100</v>
      </c>
      <c r="AX42" s="54" t="s">
        <v>120</v>
      </c>
      <c r="AY42" s="54"/>
      <c r="AZ42" s="54"/>
      <c r="BA42" s="54"/>
      <c r="BB42" s="54"/>
      <c r="BC42" s="54"/>
      <c r="BD42" s="54"/>
      <c r="BE42" s="54"/>
      <c r="BF42" s="54"/>
      <c r="BG42" s="54"/>
      <c r="BH42" s="281" t="s">
        <v>526</v>
      </c>
      <c r="BI42" s="54" t="s">
        <v>88</v>
      </c>
      <c r="BJ42" s="54" t="s">
        <v>632</v>
      </c>
      <c r="BK42" s="561" t="s">
        <v>633</v>
      </c>
    </row>
    <row r="43" customFormat="1" spans="1:63">
      <c r="A43" s="54">
        <v>38</v>
      </c>
      <c r="B43" s="54">
        <v>2684</v>
      </c>
      <c r="C43" s="54" t="s">
        <v>509</v>
      </c>
      <c r="D43" s="52" t="s">
        <v>76</v>
      </c>
      <c r="E43" s="54" t="s">
        <v>510</v>
      </c>
      <c r="F43" s="54"/>
      <c r="G43" s="12" t="s">
        <v>634</v>
      </c>
      <c r="H43" s="54"/>
      <c r="I43" s="113" t="str">
        <f t="shared" si="0"/>
        <v>Ratna Sari Dewi</v>
      </c>
      <c r="J43" s="296" t="s">
        <v>80</v>
      </c>
      <c r="K43" s="102" t="str">
        <f t="shared" si="1"/>
        <v>Perempuan</v>
      </c>
      <c r="L43" s="112" t="s">
        <v>518</v>
      </c>
      <c r="M43" s="114">
        <v>31106</v>
      </c>
      <c r="N43" s="115" t="str">
        <f ca="1" t="shared" si="2"/>
        <v>40 Tahun 8 Bulan </v>
      </c>
      <c r="O43" s="559" t="s">
        <v>635</v>
      </c>
      <c r="P43" s="105" t="e">
        <f ca="1" t="shared" si="7"/>
        <v>#VALUE!</v>
      </c>
      <c r="Q43" s="105" t="e">
        <f ca="1" t="shared" si="8"/>
        <v>#VALUE!</v>
      </c>
      <c r="R43" s="560" t="s">
        <v>636</v>
      </c>
      <c r="S43" s="318"/>
      <c r="T43" s="60" t="s">
        <v>637</v>
      </c>
      <c r="U43" s="52" t="s">
        <v>129</v>
      </c>
      <c r="V43" s="54" t="s">
        <v>515</v>
      </c>
      <c r="W43" s="52" t="s">
        <v>112</v>
      </c>
      <c r="X43" s="12" t="s">
        <v>627</v>
      </c>
      <c r="Y43" s="60">
        <v>4</v>
      </c>
      <c r="Z43" s="54"/>
      <c r="AA43" s="54"/>
      <c r="AB43" s="54" t="s">
        <v>518</v>
      </c>
      <c r="AC43" s="194">
        <v>77372</v>
      </c>
      <c r="AD43" s="194" t="s">
        <v>518</v>
      </c>
      <c r="AE43" s="54"/>
      <c r="AF43" s="12" t="s">
        <v>638</v>
      </c>
      <c r="AG43" s="329" t="s">
        <v>639</v>
      </c>
      <c r="AH43" s="54"/>
      <c r="AI43" s="54"/>
      <c r="AJ43" s="54" t="s">
        <v>640</v>
      </c>
      <c r="AK43" s="217">
        <v>39084</v>
      </c>
      <c r="AL43" s="115" t="str">
        <f ca="1" t="shared" si="9"/>
        <v>18 Tahun 10 Bulan </v>
      </c>
      <c r="AM43" s="54" t="s">
        <v>92</v>
      </c>
      <c r="AN43" s="54" t="s">
        <v>93</v>
      </c>
      <c r="AO43" s="12" t="s">
        <v>641</v>
      </c>
      <c r="AP43" s="12" t="s">
        <v>95</v>
      </c>
      <c r="AQ43" s="12" t="s">
        <v>642</v>
      </c>
      <c r="AR43" s="54"/>
      <c r="AS43" s="12" t="s">
        <v>588</v>
      </c>
      <c r="AT43" s="54"/>
      <c r="AU43" s="54"/>
      <c r="AV43" s="54"/>
      <c r="AW43" s="52" t="s">
        <v>100</v>
      </c>
      <c r="AX43" s="54" t="s">
        <v>120</v>
      </c>
      <c r="AY43" s="54"/>
      <c r="AZ43" s="54"/>
      <c r="BA43" s="54"/>
      <c r="BB43" s="54"/>
      <c r="BC43" s="54"/>
      <c r="BD43" s="54"/>
      <c r="BE43" s="54"/>
      <c r="BF43" s="54"/>
      <c r="BG43" s="54"/>
      <c r="BH43" s="281" t="s">
        <v>526</v>
      </c>
      <c r="BI43" s="54" t="s">
        <v>88</v>
      </c>
      <c r="BJ43" s="54" t="s">
        <v>643</v>
      </c>
      <c r="BK43" s="561" t="s">
        <v>644</v>
      </c>
    </row>
    <row r="44" customFormat="1" spans="1:63">
      <c r="A44" s="54">
        <v>39</v>
      </c>
      <c r="B44" s="54">
        <v>2685</v>
      </c>
      <c r="C44" s="54" t="s">
        <v>509</v>
      </c>
      <c r="D44" s="52" t="s">
        <v>76</v>
      </c>
      <c r="E44" s="54" t="s">
        <v>510</v>
      </c>
      <c r="F44" s="54"/>
      <c r="G44" s="12" t="s">
        <v>645</v>
      </c>
      <c r="H44" s="54"/>
      <c r="I44" s="113" t="str">
        <f t="shared" si="0"/>
        <v>Ukhtul Hufaidah</v>
      </c>
      <c r="J44" s="296" t="s">
        <v>127</v>
      </c>
      <c r="K44" s="102" t="str">
        <f t="shared" si="1"/>
        <v>Laki-laki</v>
      </c>
      <c r="L44" s="112" t="s">
        <v>518</v>
      </c>
      <c r="M44" s="114">
        <v>32709</v>
      </c>
      <c r="N44" s="115" t="str">
        <f ca="1" t="shared" si="2"/>
        <v>36 Tahun 3 Bulan </v>
      </c>
      <c r="O44" s="559" t="s">
        <v>646</v>
      </c>
      <c r="P44" s="105" t="e">
        <f ca="1" t="shared" si="7"/>
        <v>#VALUE!</v>
      </c>
      <c r="Q44" s="105" t="e">
        <f ca="1" t="shared" si="8"/>
        <v>#VALUE!</v>
      </c>
      <c r="R44" s="560" t="s">
        <v>647</v>
      </c>
      <c r="S44" s="54"/>
      <c r="T44" s="562" t="s">
        <v>648</v>
      </c>
      <c r="U44" s="52" t="s">
        <v>129</v>
      </c>
      <c r="V44" s="54" t="s">
        <v>515</v>
      </c>
      <c r="W44" s="52" t="s">
        <v>112</v>
      </c>
      <c r="X44" s="12" t="s">
        <v>649</v>
      </c>
      <c r="Y44" s="60">
        <v>10</v>
      </c>
      <c r="Z44" s="54"/>
      <c r="AA44" s="54"/>
      <c r="AB44" s="54" t="s">
        <v>518</v>
      </c>
      <c r="AC44" s="194">
        <v>77372</v>
      </c>
      <c r="AD44" s="194" t="s">
        <v>518</v>
      </c>
      <c r="AE44" s="54"/>
      <c r="AF44" s="556" t="s">
        <v>650</v>
      </c>
      <c r="AG44" s="329" t="s">
        <v>651</v>
      </c>
      <c r="AH44" s="54"/>
      <c r="AI44" s="54"/>
      <c r="AJ44" s="54" t="s">
        <v>652</v>
      </c>
      <c r="AK44" s="217">
        <v>40210</v>
      </c>
      <c r="AL44" s="115" t="str">
        <f ca="1" t="shared" si="9"/>
        <v>15 Tahun 9 Bulan </v>
      </c>
      <c r="AM44" s="54" t="s">
        <v>92</v>
      </c>
      <c r="AN44" s="54" t="s">
        <v>93</v>
      </c>
      <c r="AO44" s="12" t="s">
        <v>653</v>
      </c>
      <c r="AP44" s="12" t="s">
        <v>95</v>
      </c>
      <c r="AQ44" s="12" t="s">
        <v>654</v>
      </c>
      <c r="AR44" s="54"/>
      <c r="AS44" s="12" t="s">
        <v>655</v>
      </c>
      <c r="AT44" s="54"/>
      <c r="AU44" s="54"/>
      <c r="AV44" s="54"/>
      <c r="AW44" s="52" t="s">
        <v>100</v>
      </c>
      <c r="AX44" s="54" t="s">
        <v>120</v>
      </c>
      <c r="AY44" s="54"/>
      <c r="AZ44" s="54"/>
      <c r="BA44" s="54"/>
      <c r="BB44" s="54"/>
      <c r="BC44" s="54"/>
      <c r="BD44" s="54"/>
      <c r="BE44" s="54"/>
      <c r="BF44" s="54"/>
      <c r="BG44" s="54"/>
      <c r="BH44" s="281" t="s">
        <v>526</v>
      </c>
      <c r="BI44" s="54" t="s">
        <v>88</v>
      </c>
      <c r="BJ44" s="54" t="s">
        <v>656</v>
      </c>
      <c r="BK44" s="561" t="s">
        <v>657</v>
      </c>
    </row>
    <row r="45" s="1" customFormat="1" spans="1:64">
      <c r="A45" s="54">
        <v>40</v>
      </c>
      <c r="B45" s="12">
        <v>2686</v>
      </c>
      <c r="C45" s="12" t="s">
        <v>658</v>
      </c>
      <c r="D45" s="12" t="s">
        <v>76</v>
      </c>
      <c r="E45" s="12" t="s">
        <v>659</v>
      </c>
      <c r="F45" s="12"/>
      <c r="G45" s="12" t="s">
        <v>660</v>
      </c>
      <c r="H45" s="55" t="s">
        <v>177</v>
      </c>
      <c r="I45" s="50" t="str">
        <f t="shared" si="0"/>
        <v>Aspawati, S.Pd</v>
      </c>
      <c r="J45" s="55" t="s">
        <v>80</v>
      </c>
      <c r="K45" s="52" t="str">
        <f t="shared" si="1"/>
        <v>Perempuan</v>
      </c>
      <c r="L45" s="55" t="s">
        <v>661</v>
      </c>
      <c r="M45" s="310">
        <v>32874</v>
      </c>
      <c r="N45" s="119" t="str">
        <f ca="1" t="shared" si="2"/>
        <v>35 Tahun 10 Bulan </v>
      </c>
      <c r="O45" s="120" t="str">
        <f t="shared" ref="O45:O94" si="10">TEXT(M45,"DD MMMM YYYY")</f>
        <v>01 January 1990</v>
      </c>
      <c r="P45" s="52">
        <f ca="1" t="shared" si="7"/>
        <v>35</v>
      </c>
      <c r="Q45" s="52" t="str">
        <f ca="1" t="shared" si="8"/>
        <v>OKE</v>
      </c>
      <c r="R45" s="556" t="s">
        <v>662</v>
      </c>
      <c r="S45" s="12"/>
      <c r="T45" s="12"/>
      <c r="U45" s="12" t="s">
        <v>83</v>
      </c>
      <c r="V45" s="12" t="s">
        <v>290</v>
      </c>
      <c r="W45" s="12" t="s">
        <v>112</v>
      </c>
      <c r="X45" s="12" t="s">
        <v>663</v>
      </c>
      <c r="Y45" s="12">
        <v>3</v>
      </c>
      <c r="Z45" s="12"/>
      <c r="AA45" s="12"/>
      <c r="AB45" s="12" t="s">
        <v>664</v>
      </c>
      <c r="AC45" s="12">
        <v>77374</v>
      </c>
      <c r="AD45" s="12" t="s">
        <v>292</v>
      </c>
      <c r="AE45" s="12"/>
      <c r="AF45" s="556" t="s">
        <v>665</v>
      </c>
      <c r="AG45" s="330" t="s">
        <v>666</v>
      </c>
      <c r="AH45" s="281"/>
      <c r="AI45" s="281"/>
      <c r="AJ45" s="12" t="s">
        <v>667</v>
      </c>
      <c r="AK45" s="219">
        <v>42006</v>
      </c>
      <c r="AL45" s="119" t="str">
        <f ca="1" t="shared" si="9"/>
        <v>10 Tahun 10 Bulan </v>
      </c>
      <c r="AM45" s="12" t="s">
        <v>92</v>
      </c>
      <c r="AN45" s="12" t="s">
        <v>93</v>
      </c>
      <c r="AO45" s="12" t="s">
        <v>668</v>
      </c>
      <c r="AP45" s="12" t="s">
        <v>297</v>
      </c>
      <c r="AQ45" s="12"/>
      <c r="AR45" s="12"/>
      <c r="AS45" s="12"/>
      <c r="AT45" s="281"/>
      <c r="AU45" s="52"/>
      <c r="AV45" s="12"/>
      <c r="AW45" s="12" t="s">
        <v>100</v>
      </c>
      <c r="AX45" s="12" t="s">
        <v>101</v>
      </c>
      <c r="AY45" s="55" t="s">
        <v>669</v>
      </c>
      <c r="AZ45" s="281"/>
      <c r="BA45" s="281"/>
      <c r="BB45" s="52" t="s">
        <v>406</v>
      </c>
      <c r="BC45" s="281" t="s">
        <v>670</v>
      </c>
      <c r="BD45" s="281"/>
      <c r="BE45" s="281">
        <v>27</v>
      </c>
      <c r="BF45" s="53">
        <f t="shared" ref="BF45:BF62" si="11">BE45+BD45</f>
        <v>27</v>
      </c>
      <c r="BG45" s="281" t="s">
        <v>456</v>
      </c>
      <c r="BH45" s="12" t="s">
        <v>105</v>
      </c>
      <c r="BI45" s="12" t="s">
        <v>671</v>
      </c>
      <c r="BJ45" s="12" t="s">
        <v>672</v>
      </c>
      <c r="BK45" s="563" t="s">
        <v>673</v>
      </c>
      <c r="BL45" s="284"/>
    </row>
    <row r="46" s="1" customFormat="1" spans="1:64">
      <c r="A46" s="54">
        <v>41</v>
      </c>
      <c r="B46" s="12">
        <v>2687</v>
      </c>
      <c r="C46" s="12" t="s">
        <v>658</v>
      </c>
      <c r="D46" s="12" t="s">
        <v>76</v>
      </c>
      <c r="E46" s="12" t="s">
        <v>659</v>
      </c>
      <c r="F46" s="12"/>
      <c r="G46" s="12" t="s">
        <v>674</v>
      </c>
      <c r="H46" s="12" t="s">
        <v>177</v>
      </c>
      <c r="I46" s="50" t="str">
        <f t="shared" si="0"/>
        <v>Eka Mareta Rahayu, S.Pd</v>
      </c>
      <c r="J46" s="55" t="s">
        <v>80</v>
      </c>
      <c r="K46" s="52" t="str">
        <f t="shared" ref="K46:K59" si="12">IF(J46="P","Perempuan",IF(J46="L","Laki-laki"))</f>
        <v>Perempuan</v>
      </c>
      <c r="L46" s="12" t="s">
        <v>541</v>
      </c>
      <c r="M46" s="118" t="s">
        <v>675</v>
      </c>
      <c r="N46" s="119" t="str">
        <f ca="1" t="shared" si="2"/>
        <v>35 Tahun 7 Bulan </v>
      </c>
      <c r="O46" s="120" t="str">
        <f t="shared" si="10"/>
        <v>15 March 1990</v>
      </c>
      <c r="P46" s="52">
        <f ca="1" t="shared" si="7"/>
        <v>35</v>
      </c>
      <c r="Q46" s="52" t="str">
        <f ca="1" t="shared" si="8"/>
        <v>OKE</v>
      </c>
      <c r="R46" s="556" t="s">
        <v>676</v>
      </c>
      <c r="S46" s="12"/>
      <c r="T46" s="12"/>
      <c r="U46" s="12" t="s">
        <v>83</v>
      </c>
      <c r="V46" s="12" t="s">
        <v>290</v>
      </c>
      <c r="W46" s="12" t="s">
        <v>112</v>
      </c>
      <c r="X46" s="55" t="s">
        <v>677</v>
      </c>
      <c r="Y46" s="12">
        <v>1</v>
      </c>
      <c r="Z46" s="12"/>
      <c r="AA46" s="12"/>
      <c r="AB46" s="12" t="s">
        <v>664</v>
      </c>
      <c r="AC46" s="12">
        <v>77374</v>
      </c>
      <c r="AD46" s="12" t="s">
        <v>292</v>
      </c>
      <c r="AE46" s="12"/>
      <c r="AF46" s="556" t="s">
        <v>678</v>
      </c>
      <c r="AG46" s="330" t="s">
        <v>679</v>
      </c>
      <c r="AH46" s="281"/>
      <c r="AI46" s="281"/>
      <c r="AJ46" s="12" t="s">
        <v>680</v>
      </c>
      <c r="AK46" s="219">
        <v>41456</v>
      </c>
      <c r="AL46" s="119" t="str">
        <f ca="1" t="shared" si="9"/>
        <v>12 Tahun 4 Bulan </v>
      </c>
      <c r="AM46" s="38" t="s">
        <v>309</v>
      </c>
      <c r="AN46" s="12" t="s">
        <v>93</v>
      </c>
      <c r="AO46" s="12" t="s">
        <v>681</v>
      </c>
      <c r="AP46" s="12" t="s">
        <v>95</v>
      </c>
      <c r="AQ46" s="12" t="s">
        <v>682</v>
      </c>
      <c r="AR46" s="12" t="s">
        <v>683</v>
      </c>
      <c r="AS46" s="271" t="s">
        <v>98</v>
      </c>
      <c r="AT46" s="281"/>
      <c r="AU46" s="52"/>
      <c r="AV46" s="12" t="s">
        <v>684</v>
      </c>
      <c r="AW46" s="12" t="s">
        <v>100</v>
      </c>
      <c r="AX46" s="55" t="s">
        <v>101</v>
      </c>
      <c r="AY46" s="55" t="s">
        <v>685</v>
      </c>
      <c r="AZ46" s="281"/>
      <c r="BA46" s="281"/>
      <c r="BB46" s="52" t="s">
        <v>406</v>
      </c>
      <c r="BC46" s="281" t="s">
        <v>686</v>
      </c>
      <c r="BD46" s="281"/>
      <c r="BE46" s="281">
        <v>25</v>
      </c>
      <c r="BF46" s="53">
        <f t="shared" si="11"/>
        <v>25</v>
      </c>
      <c r="BG46" s="281" t="s">
        <v>686</v>
      </c>
      <c r="BH46" s="12" t="s">
        <v>105</v>
      </c>
      <c r="BI46" s="12" t="s">
        <v>671</v>
      </c>
      <c r="BJ46" s="12" t="s">
        <v>687</v>
      </c>
      <c r="BK46" s="564" t="s">
        <v>688</v>
      </c>
      <c r="BL46" s="284"/>
    </row>
    <row r="47" s="1" customFormat="1" spans="1:64">
      <c r="A47" s="54">
        <v>42</v>
      </c>
      <c r="B47" s="12">
        <v>2688</v>
      </c>
      <c r="C47" s="12" t="s">
        <v>658</v>
      </c>
      <c r="D47" s="12" t="s">
        <v>76</v>
      </c>
      <c r="E47" s="12" t="s">
        <v>659</v>
      </c>
      <c r="F47" s="12"/>
      <c r="G47" s="12" t="s">
        <v>689</v>
      </c>
      <c r="H47" s="12" t="s">
        <v>177</v>
      </c>
      <c r="I47" s="50" t="str">
        <f t="shared" si="0"/>
        <v>Prihatiningtyas Ardhini Adi, S.Pd</v>
      </c>
      <c r="J47" s="55" t="s">
        <v>80</v>
      </c>
      <c r="K47" s="52" t="str">
        <f t="shared" si="12"/>
        <v>Perempuan</v>
      </c>
      <c r="L47" s="12" t="s">
        <v>690</v>
      </c>
      <c r="M47" s="118" t="s">
        <v>691</v>
      </c>
      <c r="N47" s="119" t="str">
        <f ca="1" t="shared" si="2"/>
        <v>38 Tahun 5 Bulan </v>
      </c>
      <c r="O47" s="120" t="str">
        <f t="shared" si="10"/>
        <v>15 May 1987</v>
      </c>
      <c r="P47" s="52">
        <f ca="1" t="shared" si="7"/>
        <v>38</v>
      </c>
      <c r="Q47" s="52" t="str">
        <f ca="1" t="shared" si="8"/>
        <v>OKE</v>
      </c>
      <c r="R47" s="12" t="s">
        <v>692</v>
      </c>
      <c r="S47" s="12"/>
      <c r="T47" s="12"/>
      <c r="U47" s="12" t="s">
        <v>83</v>
      </c>
      <c r="V47" s="12" t="s">
        <v>290</v>
      </c>
      <c r="W47" s="12" t="s">
        <v>112</v>
      </c>
      <c r="X47" s="55" t="s">
        <v>693</v>
      </c>
      <c r="Y47" s="12">
        <v>1</v>
      </c>
      <c r="Z47" s="12"/>
      <c r="AA47" s="12"/>
      <c r="AB47" s="55" t="s">
        <v>690</v>
      </c>
      <c r="AC47" s="12">
        <v>77315</v>
      </c>
      <c r="AD47" s="12" t="s">
        <v>321</v>
      </c>
      <c r="AE47" s="12"/>
      <c r="AF47" s="12" t="s">
        <v>694</v>
      </c>
      <c r="AG47" s="12" t="s">
        <v>695</v>
      </c>
      <c r="AH47" s="281"/>
      <c r="AI47" s="281"/>
      <c r="AJ47" s="12" t="s">
        <v>696</v>
      </c>
      <c r="AK47" s="219">
        <v>40544</v>
      </c>
      <c r="AL47" s="119" t="str">
        <f ca="1" t="shared" si="9"/>
        <v>14 Tahun 10 Bulan </v>
      </c>
      <c r="AM47" s="12" t="s">
        <v>92</v>
      </c>
      <c r="AN47" s="12" t="s">
        <v>93</v>
      </c>
      <c r="AO47" s="12" t="s">
        <v>697</v>
      </c>
      <c r="AP47" s="12" t="s">
        <v>95</v>
      </c>
      <c r="AQ47" s="12" t="s">
        <v>698</v>
      </c>
      <c r="AR47" s="12"/>
      <c r="AS47" s="12"/>
      <c r="AT47" s="281"/>
      <c r="AU47" s="52"/>
      <c r="AV47" s="12" t="s">
        <v>699</v>
      </c>
      <c r="AW47" s="12" t="s">
        <v>100</v>
      </c>
      <c r="AX47" s="12" t="s">
        <v>101</v>
      </c>
      <c r="AY47" s="12"/>
      <c r="AZ47" s="281"/>
      <c r="BA47" s="281"/>
      <c r="BB47" s="52" t="s">
        <v>406</v>
      </c>
      <c r="BC47" s="281" t="s">
        <v>700</v>
      </c>
      <c r="BD47" s="281"/>
      <c r="BE47" s="281">
        <v>24</v>
      </c>
      <c r="BF47" s="53">
        <f t="shared" si="11"/>
        <v>24</v>
      </c>
      <c r="BG47" s="281" t="s">
        <v>416</v>
      </c>
      <c r="BH47" s="12" t="s">
        <v>105</v>
      </c>
      <c r="BI47" s="12" t="s">
        <v>671</v>
      </c>
      <c r="BJ47" s="12" t="s">
        <v>701</v>
      </c>
      <c r="BK47" s="350">
        <v>1122054451</v>
      </c>
      <c r="BL47" s="284"/>
    </row>
    <row r="48" s="1" customFormat="1" spans="1:64">
      <c r="A48" s="54">
        <v>43</v>
      </c>
      <c r="B48" s="12">
        <v>2689</v>
      </c>
      <c r="C48" s="12" t="s">
        <v>658</v>
      </c>
      <c r="D48" s="12" t="s">
        <v>76</v>
      </c>
      <c r="E48" s="12" t="s">
        <v>659</v>
      </c>
      <c r="F48" s="55" t="s">
        <v>702</v>
      </c>
      <c r="G48" s="12" t="s">
        <v>703</v>
      </c>
      <c r="H48" s="12" t="s">
        <v>704</v>
      </c>
      <c r="I48" s="50" t="str">
        <f t="shared" si="0"/>
        <v>Samin, MA</v>
      </c>
      <c r="J48" s="55" t="s">
        <v>127</v>
      </c>
      <c r="K48" s="52" t="str">
        <f t="shared" si="12"/>
        <v>Laki-laki</v>
      </c>
      <c r="L48" s="12" t="s">
        <v>705</v>
      </c>
      <c r="M48" s="118" t="s">
        <v>706</v>
      </c>
      <c r="N48" s="119" t="str">
        <f ca="1" t="shared" si="2"/>
        <v>42 Tahun 10 Bulan </v>
      </c>
      <c r="O48" s="120" t="str">
        <f t="shared" si="10"/>
        <v>22 December 1982</v>
      </c>
      <c r="P48" s="52">
        <f ca="1" t="shared" si="7"/>
        <v>42</v>
      </c>
      <c r="Q48" s="52" t="str">
        <f ca="1" t="shared" si="8"/>
        <v>OKE</v>
      </c>
      <c r="R48" s="12" t="s">
        <v>707</v>
      </c>
      <c r="S48" s="12"/>
      <c r="T48" s="60" t="s">
        <v>708</v>
      </c>
      <c r="U48" s="12" t="s">
        <v>83</v>
      </c>
      <c r="V48" s="12" t="s">
        <v>290</v>
      </c>
      <c r="W48" s="12" t="s">
        <v>112</v>
      </c>
      <c r="X48" s="55" t="s">
        <v>709</v>
      </c>
      <c r="Y48" s="12">
        <v>1</v>
      </c>
      <c r="Z48" s="12"/>
      <c r="AA48" s="12"/>
      <c r="AB48" s="12" t="s">
        <v>710</v>
      </c>
      <c r="AC48" s="12">
        <v>77311</v>
      </c>
      <c r="AD48" s="12" t="s">
        <v>292</v>
      </c>
      <c r="AE48" s="12"/>
      <c r="AF48" s="12" t="s">
        <v>711</v>
      </c>
      <c r="AG48" s="12" t="s">
        <v>712</v>
      </c>
      <c r="AH48" s="281"/>
      <c r="AI48" s="281"/>
      <c r="AJ48" s="12" t="s">
        <v>713</v>
      </c>
      <c r="AK48" s="219">
        <v>39386</v>
      </c>
      <c r="AL48" s="119" t="str">
        <f ca="1" t="shared" si="9"/>
        <v>18 Tahun 0 Bulan </v>
      </c>
      <c r="AM48" s="38" t="s">
        <v>309</v>
      </c>
      <c r="AN48" s="12" t="s">
        <v>93</v>
      </c>
      <c r="AO48" s="12" t="s">
        <v>714</v>
      </c>
      <c r="AP48" s="12" t="s">
        <v>95</v>
      </c>
      <c r="AQ48" s="12" t="s">
        <v>715</v>
      </c>
      <c r="AR48" s="12"/>
      <c r="AS48" s="12"/>
      <c r="AT48" s="281"/>
      <c r="AU48" s="52"/>
      <c r="AV48" s="12" t="s">
        <v>716</v>
      </c>
      <c r="AW48" s="12" t="s">
        <v>100</v>
      </c>
      <c r="AX48" s="12" t="s">
        <v>717</v>
      </c>
      <c r="AY48" s="12"/>
      <c r="AZ48" s="281"/>
      <c r="BA48" s="281"/>
      <c r="BB48" s="52"/>
      <c r="BC48" s="281" t="s">
        <v>718</v>
      </c>
      <c r="BD48" s="281"/>
      <c r="BE48" s="281">
        <v>24</v>
      </c>
      <c r="BF48" s="53">
        <f t="shared" si="11"/>
        <v>24</v>
      </c>
      <c r="BG48" s="281" t="s">
        <v>606</v>
      </c>
      <c r="BH48" s="12" t="s">
        <v>105</v>
      </c>
      <c r="BI48" s="12" t="s">
        <v>671</v>
      </c>
      <c r="BJ48" s="12" t="s">
        <v>719</v>
      </c>
      <c r="BK48" s="350">
        <v>5166002844</v>
      </c>
      <c r="BL48" s="284"/>
    </row>
    <row r="49" s="1" customFormat="1" spans="1:64">
      <c r="A49" s="54">
        <v>44</v>
      </c>
      <c r="B49" s="12">
        <v>2690</v>
      </c>
      <c r="C49" s="12" t="s">
        <v>658</v>
      </c>
      <c r="D49" s="12" t="s">
        <v>76</v>
      </c>
      <c r="E49" s="12" t="s">
        <v>659</v>
      </c>
      <c r="F49" s="12"/>
      <c r="G49" s="12" t="s">
        <v>720</v>
      </c>
      <c r="H49" s="12" t="s">
        <v>177</v>
      </c>
      <c r="I49" s="50" t="str">
        <f t="shared" si="0"/>
        <v>Zein Munajat Arasy Padil, S.Pd</v>
      </c>
      <c r="J49" s="55" t="s">
        <v>127</v>
      </c>
      <c r="K49" s="52" t="str">
        <f t="shared" si="12"/>
        <v>Laki-laki</v>
      </c>
      <c r="L49" s="12" t="s">
        <v>721</v>
      </c>
      <c r="M49" s="118" t="s">
        <v>722</v>
      </c>
      <c r="N49" s="119" t="str">
        <f ca="1" t="shared" si="2"/>
        <v>38 Tahun 3 Bulan </v>
      </c>
      <c r="O49" s="120" t="str">
        <f t="shared" si="10"/>
        <v>25 July 1987</v>
      </c>
      <c r="P49" s="52">
        <f ca="1" t="shared" si="7"/>
        <v>38</v>
      </c>
      <c r="Q49" s="52" t="str">
        <f ca="1" t="shared" si="8"/>
        <v>OKE</v>
      </c>
      <c r="R49" s="12" t="s">
        <v>723</v>
      </c>
      <c r="S49" s="12"/>
      <c r="T49" s="12"/>
      <c r="U49" s="12" t="s">
        <v>83</v>
      </c>
      <c r="V49" s="12" t="s">
        <v>290</v>
      </c>
      <c r="W49" s="12" t="s">
        <v>112</v>
      </c>
      <c r="X49" s="12" t="s">
        <v>663</v>
      </c>
      <c r="Y49" s="12">
        <v>3</v>
      </c>
      <c r="Z49" s="12"/>
      <c r="AA49" s="12"/>
      <c r="AB49" s="12" t="s">
        <v>544</v>
      </c>
      <c r="AC49" s="12">
        <v>77371</v>
      </c>
      <c r="AD49" s="12" t="s">
        <v>399</v>
      </c>
      <c r="AE49" s="12"/>
      <c r="AF49" s="556" t="s">
        <v>724</v>
      </c>
      <c r="AG49" s="12" t="s">
        <v>725</v>
      </c>
      <c r="AH49" s="281"/>
      <c r="AI49" s="281"/>
      <c r="AJ49" s="12" t="s">
        <v>726</v>
      </c>
      <c r="AK49" s="219">
        <v>40942</v>
      </c>
      <c r="AL49" s="119" t="str">
        <f ca="1" t="shared" si="9"/>
        <v>13 Tahun 9 Bulan </v>
      </c>
      <c r="AM49" s="12" t="s">
        <v>92</v>
      </c>
      <c r="AN49" s="12" t="s">
        <v>93</v>
      </c>
      <c r="AO49" s="12" t="s">
        <v>727</v>
      </c>
      <c r="AP49" s="12" t="s">
        <v>297</v>
      </c>
      <c r="AQ49" s="12"/>
      <c r="AR49" s="12"/>
      <c r="AS49" s="12"/>
      <c r="AT49" s="281"/>
      <c r="AU49" s="52"/>
      <c r="AV49" s="12"/>
      <c r="AW49" s="12" t="s">
        <v>100</v>
      </c>
      <c r="AX49" s="12" t="s">
        <v>101</v>
      </c>
      <c r="AY49" s="55" t="s">
        <v>728</v>
      </c>
      <c r="AZ49" s="281"/>
      <c r="BA49" s="281"/>
      <c r="BB49" s="52" t="s">
        <v>406</v>
      </c>
      <c r="BC49" s="281" t="s">
        <v>729</v>
      </c>
      <c r="BD49" s="281"/>
      <c r="BE49" s="281">
        <v>29</v>
      </c>
      <c r="BF49" s="53">
        <f t="shared" si="11"/>
        <v>29</v>
      </c>
      <c r="BG49" s="281" t="s">
        <v>190</v>
      </c>
      <c r="BH49" s="12" t="s">
        <v>105</v>
      </c>
      <c r="BI49" s="12" t="s">
        <v>671</v>
      </c>
      <c r="BJ49" s="12" t="s">
        <v>730</v>
      </c>
      <c r="BK49" s="564" t="s">
        <v>731</v>
      </c>
      <c r="BL49" s="284"/>
    </row>
    <row r="50" s="1" customFormat="1" spans="1:64">
      <c r="A50" s="54">
        <v>45</v>
      </c>
      <c r="B50" s="12">
        <v>2691</v>
      </c>
      <c r="C50" s="12" t="s">
        <v>658</v>
      </c>
      <c r="D50" s="12" t="s">
        <v>76</v>
      </c>
      <c r="E50" s="12" t="s">
        <v>659</v>
      </c>
      <c r="F50" s="12"/>
      <c r="G50" s="12" t="s">
        <v>732</v>
      </c>
      <c r="H50" s="12" t="s">
        <v>126</v>
      </c>
      <c r="I50" s="50" t="str">
        <f t="shared" si="0"/>
        <v>Halomoan Hutagaol, S.ST</v>
      </c>
      <c r="J50" s="55" t="s">
        <v>127</v>
      </c>
      <c r="K50" s="52" t="str">
        <f t="shared" si="12"/>
        <v>Laki-laki</v>
      </c>
      <c r="L50" s="12" t="s">
        <v>733</v>
      </c>
      <c r="M50" s="118" t="s">
        <v>734</v>
      </c>
      <c r="N50" s="119" t="str">
        <f ca="1" t="shared" si="2"/>
        <v>36 Tahun 8 Bulan </v>
      </c>
      <c r="O50" s="120" t="str">
        <f t="shared" si="10"/>
        <v>15 February 1989</v>
      </c>
      <c r="P50" s="52">
        <f ca="1" t="shared" si="7"/>
        <v>36</v>
      </c>
      <c r="Q50" s="52" t="str">
        <f ca="1" t="shared" si="8"/>
        <v>OKE</v>
      </c>
      <c r="R50" s="556" t="s">
        <v>735</v>
      </c>
      <c r="S50" s="12"/>
      <c r="T50" s="12"/>
      <c r="U50" s="55" t="s">
        <v>379</v>
      </c>
      <c r="V50" s="12" t="s">
        <v>290</v>
      </c>
      <c r="W50" s="12" t="s">
        <v>112</v>
      </c>
      <c r="X50" s="55" t="s">
        <v>736</v>
      </c>
      <c r="Y50" s="12">
        <v>6</v>
      </c>
      <c r="Z50" s="12"/>
      <c r="AA50" s="12"/>
      <c r="AB50" s="12" t="s">
        <v>544</v>
      </c>
      <c r="AC50" s="12">
        <v>77371</v>
      </c>
      <c r="AD50" s="12" t="s">
        <v>399</v>
      </c>
      <c r="AE50" s="12"/>
      <c r="AF50" s="556" t="s">
        <v>737</v>
      </c>
      <c r="AG50" s="330" t="s">
        <v>738</v>
      </c>
      <c r="AH50" s="281"/>
      <c r="AI50" s="281"/>
      <c r="AJ50" s="12" t="s">
        <v>739</v>
      </c>
      <c r="AK50" s="219">
        <v>42036</v>
      </c>
      <c r="AL50" s="119" t="str">
        <f ca="1" t="shared" si="9"/>
        <v>10 Tahun 9 Bulan </v>
      </c>
      <c r="AM50" s="12" t="s">
        <v>92</v>
      </c>
      <c r="AN50" s="12" t="s">
        <v>93</v>
      </c>
      <c r="AO50" s="12" t="s">
        <v>740</v>
      </c>
      <c r="AP50" s="12" t="s">
        <v>95</v>
      </c>
      <c r="AQ50" s="12" t="s">
        <v>741</v>
      </c>
      <c r="AR50" s="12"/>
      <c r="AS50" s="12"/>
      <c r="AT50" s="281"/>
      <c r="AU50" s="52"/>
      <c r="AV50" s="12" t="s">
        <v>742</v>
      </c>
      <c r="AW50" s="12" t="s">
        <v>100</v>
      </c>
      <c r="AX50" s="55" t="s">
        <v>370</v>
      </c>
      <c r="AY50" s="55" t="s">
        <v>743</v>
      </c>
      <c r="AZ50" s="281"/>
      <c r="BA50" s="281"/>
      <c r="BB50" s="52"/>
      <c r="BC50" s="281" t="s">
        <v>744</v>
      </c>
      <c r="BD50" s="281"/>
      <c r="BE50" s="281">
        <v>16</v>
      </c>
      <c r="BF50" s="53">
        <f t="shared" si="11"/>
        <v>16</v>
      </c>
      <c r="BG50" s="281" t="s">
        <v>745</v>
      </c>
      <c r="BH50" s="12" t="s">
        <v>105</v>
      </c>
      <c r="BI50" s="12" t="s">
        <v>671</v>
      </c>
      <c r="BJ50" s="12" t="s">
        <v>746</v>
      </c>
      <c r="BK50" s="563" t="s">
        <v>747</v>
      </c>
      <c r="BL50" s="284"/>
    </row>
    <row r="51" s="1" customFormat="1" spans="1:64">
      <c r="A51" s="54">
        <v>46</v>
      </c>
      <c r="B51" s="12">
        <v>2692</v>
      </c>
      <c r="C51" s="12" t="s">
        <v>658</v>
      </c>
      <c r="D51" s="12" t="s">
        <v>76</v>
      </c>
      <c r="E51" s="12" t="s">
        <v>659</v>
      </c>
      <c r="F51" s="12"/>
      <c r="G51" s="12" t="s">
        <v>748</v>
      </c>
      <c r="H51" s="12"/>
      <c r="I51" s="50" t="str">
        <f t="shared" si="0"/>
        <v>Din Wahyudi Dini</v>
      </c>
      <c r="J51" s="55" t="s">
        <v>127</v>
      </c>
      <c r="K51" s="52" t="str">
        <f t="shared" si="12"/>
        <v>Laki-laki</v>
      </c>
      <c r="L51" s="12" t="s">
        <v>664</v>
      </c>
      <c r="M51" s="118">
        <v>28895</v>
      </c>
      <c r="N51" s="119" t="str">
        <f ca="1" t="shared" si="2"/>
        <v>46 Tahun 8 Bulan </v>
      </c>
      <c r="O51" s="120" t="str">
        <f t="shared" si="10"/>
        <v>09 February 1979</v>
      </c>
      <c r="P51" s="52">
        <f ca="1" t="shared" si="7"/>
        <v>46</v>
      </c>
      <c r="Q51" s="52" t="str">
        <f ca="1" t="shared" si="8"/>
        <v>OKE</v>
      </c>
      <c r="R51" s="556" t="s">
        <v>749</v>
      </c>
      <c r="S51" s="12"/>
      <c r="T51" s="12"/>
      <c r="U51" s="12" t="s">
        <v>750</v>
      </c>
      <c r="V51" s="12" t="s">
        <v>290</v>
      </c>
      <c r="W51" s="12" t="s">
        <v>112</v>
      </c>
      <c r="X51" s="12" t="s">
        <v>663</v>
      </c>
      <c r="Y51" s="12">
        <v>3</v>
      </c>
      <c r="Z51" s="12"/>
      <c r="AA51" s="12"/>
      <c r="AB51" s="12" t="s">
        <v>544</v>
      </c>
      <c r="AC51" s="12">
        <v>77371</v>
      </c>
      <c r="AD51" s="12" t="s">
        <v>399</v>
      </c>
      <c r="AE51" s="12"/>
      <c r="AF51" s="565" t="s">
        <v>751</v>
      </c>
      <c r="AG51" s="330" t="s">
        <v>752</v>
      </c>
      <c r="AH51" s="281"/>
      <c r="AI51" s="281"/>
      <c r="AJ51" s="12" t="s">
        <v>753</v>
      </c>
      <c r="AK51" s="219">
        <v>41641</v>
      </c>
      <c r="AL51" s="119" t="str">
        <f ca="1" t="shared" si="9"/>
        <v>11 Tahun 10 Bulan </v>
      </c>
      <c r="AM51" s="12" t="s">
        <v>92</v>
      </c>
      <c r="AN51" s="12" t="s">
        <v>93</v>
      </c>
      <c r="AO51" s="12" t="s">
        <v>754</v>
      </c>
      <c r="AP51" s="12" t="s">
        <v>95</v>
      </c>
      <c r="AQ51" s="12" t="s">
        <v>755</v>
      </c>
      <c r="AR51" s="12"/>
      <c r="AS51" s="12"/>
      <c r="AT51" s="281"/>
      <c r="AU51" s="52"/>
      <c r="AV51" s="12"/>
      <c r="AW51" s="12" t="s">
        <v>100</v>
      </c>
      <c r="AX51" s="12" t="s">
        <v>120</v>
      </c>
      <c r="AY51" s="12"/>
      <c r="AZ51" s="281"/>
      <c r="BA51" s="281"/>
      <c r="BB51" s="52"/>
      <c r="BC51" s="281"/>
      <c r="BD51" s="281"/>
      <c r="BE51" s="281"/>
      <c r="BF51" s="53">
        <f t="shared" si="11"/>
        <v>0</v>
      </c>
      <c r="BG51" s="281"/>
      <c r="BH51" s="12" t="s">
        <v>105</v>
      </c>
      <c r="BI51" s="12" t="s">
        <v>671</v>
      </c>
      <c r="BJ51" s="12" t="s">
        <v>756</v>
      </c>
      <c r="BK51" s="307">
        <v>1192032748</v>
      </c>
      <c r="BL51" s="284"/>
    </row>
    <row r="52" s="1" customFormat="1" spans="1:64">
      <c r="A52" s="54">
        <v>47</v>
      </c>
      <c r="B52" s="12">
        <v>2693</v>
      </c>
      <c r="C52" s="12" t="s">
        <v>658</v>
      </c>
      <c r="D52" s="12" t="s">
        <v>76</v>
      </c>
      <c r="E52" s="12" t="s">
        <v>659</v>
      </c>
      <c r="F52" s="12"/>
      <c r="G52" s="12" t="s">
        <v>757</v>
      </c>
      <c r="H52" s="12"/>
      <c r="I52" s="50" t="str">
        <f t="shared" si="0"/>
        <v>Putri Adina Rezky</v>
      </c>
      <c r="J52" s="55" t="s">
        <v>80</v>
      </c>
      <c r="K52" s="52" t="str">
        <f t="shared" si="12"/>
        <v>Perempuan</v>
      </c>
      <c r="L52" s="12" t="s">
        <v>664</v>
      </c>
      <c r="M52" s="118" t="s">
        <v>758</v>
      </c>
      <c r="N52" s="119" t="str">
        <f ca="1" t="shared" si="2"/>
        <v>32 Tahun 5 Bulan </v>
      </c>
      <c r="O52" s="120" t="str">
        <f t="shared" si="10"/>
        <v>17 May 1993</v>
      </c>
      <c r="P52" s="52">
        <f ca="1" t="shared" si="7"/>
        <v>32</v>
      </c>
      <c r="Q52" s="52" t="str">
        <f ca="1" t="shared" si="8"/>
        <v>OKE</v>
      </c>
      <c r="R52" s="12" t="s">
        <v>759</v>
      </c>
      <c r="S52" s="12"/>
      <c r="T52" s="12"/>
      <c r="U52" s="12" t="s">
        <v>760</v>
      </c>
      <c r="V52" s="12" t="s">
        <v>290</v>
      </c>
      <c r="W52" s="12" t="s">
        <v>112</v>
      </c>
      <c r="X52" s="12" t="s">
        <v>761</v>
      </c>
      <c r="Y52" s="12">
        <v>1</v>
      </c>
      <c r="Z52" s="12"/>
      <c r="AA52" s="12"/>
      <c r="AB52" s="12" t="s">
        <v>762</v>
      </c>
      <c r="AC52" s="12">
        <v>77312</v>
      </c>
      <c r="AD52" s="12" t="s">
        <v>292</v>
      </c>
      <c r="AE52" s="12"/>
      <c r="AF52" s="12" t="s">
        <v>763</v>
      </c>
      <c r="AG52" s="12" t="s">
        <v>764</v>
      </c>
      <c r="AH52" s="281"/>
      <c r="AI52" s="281"/>
      <c r="AJ52" s="12" t="s">
        <v>765</v>
      </c>
      <c r="AK52" s="219">
        <v>42006</v>
      </c>
      <c r="AL52" s="119" t="str">
        <f ca="1" t="shared" si="9"/>
        <v>10 Tahun 10 Bulan </v>
      </c>
      <c r="AM52" s="38" t="s">
        <v>309</v>
      </c>
      <c r="AN52" s="12" t="s">
        <v>93</v>
      </c>
      <c r="AO52" s="12" t="s">
        <v>766</v>
      </c>
      <c r="AP52" s="12" t="s">
        <v>297</v>
      </c>
      <c r="AQ52" s="12"/>
      <c r="AR52" s="12"/>
      <c r="AS52" s="12"/>
      <c r="AT52" s="281"/>
      <c r="AU52" s="52"/>
      <c r="AV52" s="12" t="s">
        <v>767</v>
      </c>
      <c r="AW52" s="12" t="s">
        <v>100</v>
      </c>
      <c r="AX52" s="12" t="s">
        <v>120</v>
      </c>
      <c r="AY52" s="12"/>
      <c r="AZ52" s="281"/>
      <c r="BA52" s="281"/>
      <c r="BB52" s="52"/>
      <c r="BC52" s="281"/>
      <c r="BD52" s="281"/>
      <c r="BE52" s="281"/>
      <c r="BF52" s="53">
        <f t="shared" si="11"/>
        <v>0</v>
      </c>
      <c r="BG52" s="281"/>
      <c r="BH52" s="12" t="s">
        <v>105</v>
      </c>
      <c r="BI52" s="12" t="s">
        <v>671</v>
      </c>
      <c r="BJ52" s="12" t="s">
        <v>768</v>
      </c>
      <c r="BK52" s="564" t="s">
        <v>769</v>
      </c>
      <c r="BL52" s="284"/>
    </row>
    <row r="53" s="1" customFormat="1" spans="1:64">
      <c r="A53" s="54">
        <v>48</v>
      </c>
      <c r="B53" s="12">
        <v>2694</v>
      </c>
      <c r="C53" s="12" t="s">
        <v>658</v>
      </c>
      <c r="D53" s="12" t="s">
        <v>76</v>
      </c>
      <c r="E53" s="12" t="s">
        <v>659</v>
      </c>
      <c r="F53" s="12"/>
      <c r="G53" s="12" t="s">
        <v>770</v>
      </c>
      <c r="H53" s="12"/>
      <c r="I53" s="50" t="str">
        <f t="shared" si="0"/>
        <v>Rahmansyah</v>
      </c>
      <c r="J53" s="55" t="s">
        <v>127</v>
      </c>
      <c r="K53" s="52" t="str">
        <f t="shared" si="12"/>
        <v>Laki-laki</v>
      </c>
      <c r="L53" s="55" t="s">
        <v>771</v>
      </c>
      <c r="M53" s="118">
        <v>35238</v>
      </c>
      <c r="N53" s="119" t="str">
        <f ca="1" t="shared" si="2"/>
        <v>29 Tahun 4 Bulan </v>
      </c>
      <c r="O53" s="120" t="str">
        <f t="shared" si="10"/>
        <v>22 June 1996</v>
      </c>
      <c r="P53" s="52">
        <f ca="1" t="shared" si="7"/>
        <v>29</v>
      </c>
      <c r="Q53" s="52" t="str">
        <f ca="1" t="shared" si="8"/>
        <v>OKE</v>
      </c>
      <c r="R53" s="12" t="s">
        <v>772</v>
      </c>
      <c r="S53" s="12"/>
      <c r="T53" s="12"/>
      <c r="U53" s="12" t="s">
        <v>760</v>
      </c>
      <c r="V53" s="12" t="s">
        <v>290</v>
      </c>
      <c r="W53" s="12" t="s">
        <v>112</v>
      </c>
      <c r="X53" s="55" t="s">
        <v>773</v>
      </c>
      <c r="Y53" s="12">
        <v>5</v>
      </c>
      <c r="Z53" s="12"/>
      <c r="AA53" s="12"/>
      <c r="AB53" s="55" t="s">
        <v>771</v>
      </c>
      <c r="AC53" s="12"/>
      <c r="AD53" s="55" t="s">
        <v>438</v>
      </c>
      <c r="AE53" s="12"/>
      <c r="AF53" s="566" t="s">
        <v>774</v>
      </c>
      <c r="AG53" s="12" t="s">
        <v>775</v>
      </c>
      <c r="AH53" s="281"/>
      <c r="AI53" s="281"/>
      <c r="AJ53" s="55" t="s">
        <v>776</v>
      </c>
      <c r="AK53" s="219">
        <v>42014</v>
      </c>
      <c r="AL53" s="119" t="str">
        <f ca="1" t="shared" si="9"/>
        <v>10 Tahun 9 Bulan </v>
      </c>
      <c r="AM53" s="38" t="s">
        <v>309</v>
      </c>
      <c r="AN53" s="12" t="s">
        <v>93</v>
      </c>
      <c r="AO53" s="12" t="s">
        <v>777</v>
      </c>
      <c r="AP53" s="12" t="s">
        <v>297</v>
      </c>
      <c r="AQ53" s="12"/>
      <c r="AR53" s="12"/>
      <c r="AS53" s="12"/>
      <c r="AT53" s="281"/>
      <c r="AU53" s="52"/>
      <c r="AV53" s="12"/>
      <c r="AW53" s="12" t="s">
        <v>100</v>
      </c>
      <c r="AX53" s="12" t="s">
        <v>120</v>
      </c>
      <c r="AY53" s="12"/>
      <c r="AZ53" s="281"/>
      <c r="BA53" s="281"/>
      <c r="BB53" s="52"/>
      <c r="BC53" s="281"/>
      <c r="BD53" s="281"/>
      <c r="BE53" s="281"/>
      <c r="BF53" s="53">
        <f t="shared" si="11"/>
        <v>0</v>
      </c>
      <c r="BG53" s="281"/>
      <c r="BH53" s="12" t="s">
        <v>105</v>
      </c>
      <c r="BI53" s="12" t="s">
        <v>671</v>
      </c>
      <c r="BJ53" s="12" t="s">
        <v>778</v>
      </c>
      <c r="BK53" s="307">
        <v>1552233138</v>
      </c>
      <c r="BL53" s="284"/>
    </row>
    <row r="54" s="1" customFormat="1" spans="1:64">
      <c r="A54" s="54">
        <v>49</v>
      </c>
      <c r="B54" s="12">
        <v>2695</v>
      </c>
      <c r="C54" s="12" t="s">
        <v>658</v>
      </c>
      <c r="D54" s="12" t="s">
        <v>76</v>
      </c>
      <c r="E54" s="12" t="s">
        <v>659</v>
      </c>
      <c r="F54" s="12"/>
      <c r="G54" s="12" t="s">
        <v>779</v>
      </c>
      <c r="H54" s="12" t="s">
        <v>780</v>
      </c>
      <c r="I54" s="50" t="str">
        <f t="shared" si="0"/>
        <v>Fenny Alvionita Dini, Amd.Kep</v>
      </c>
      <c r="J54" s="55" t="s">
        <v>80</v>
      </c>
      <c r="K54" s="52" t="str">
        <f t="shared" si="12"/>
        <v>Perempuan</v>
      </c>
      <c r="L54" s="12" t="s">
        <v>664</v>
      </c>
      <c r="M54" s="118" t="s">
        <v>781</v>
      </c>
      <c r="N54" s="119" t="str">
        <f ca="1" t="shared" si="2"/>
        <v>34 Tahun 11 Bulan </v>
      </c>
      <c r="O54" s="120" t="str">
        <f t="shared" si="10"/>
        <v>22 November 1990</v>
      </c>
      <c r="P54" s="52">
        <f ca="1" t="shared" si="7"/>
        <v>34</v>
      </c>
      <c r="Q54" s="52" t="str">
        <f ca="1" t="shared" si="8"/>
        <v>OKE</v>
      </c>
      <c r="R54" s="556" t="s">
        <v>782</v>
      </c>
      <c r="S54" s="12"/>
      <c r="T54" s="12"/>
      <c r="U54" s="12" t="s">
        <v>129</v>
      </c>
      <c r="V54" s="12" t="s">
        <v>290</v>
      </c>
      <c r="W54" s="12" t="s">
        <v>112</v>
      </c>
      <c r="X54" s="12" t="s">
        <v>783</v>
      </c>
      <c r="Y54" s="12">
        <v>3</v>
      </c>
      <c r="Z54" s="12"/>
      <c r="AA54" s="12"/>
      <c r="AB54" s="12" t="s">
        <v>544</v>
      </c>
      <c r="AC54" s="12">
        <v>77371</v>
      </c>
      <c r="AD54" s="12" t="s">
        <v>399</v>
      </c>
      <c r="AE54" s="12"/>
      <c r="AF54" s="556" t="s">
        <v>665</v>
      </c>
      <c r="AG54" s="330" t="s">
        <v>784</v>
      </c>
      <c r="AH54" s="281"/>
      <c r="AI54" s="281"/>
      <c r="AJ54" s="12" t="s">
        <v>785</v>
      </c>
      <c r="AK54" s="219">
        <v>41549</v>
      </c>
      <c r="AL54" s="119" t="str">
        <f ca="1" t="shared" si="9"/>
        <v>12 Tahun 1 Bulan </v>
      </c>
      <c r="AM54" s="12" t="s">
        <v>92</v>
      </c>
      <c r="AN54" s="12" t="s">
        <v>93</v>
      </c>
      <c r="AO54" s="12" t="s">
        <v>754</v>
      </c>
      <c r="AP54" s="12" t="s">
        <v>297</v>
      </c>
      <c r="AQ54" s="12"/>
      <c r="AR54" s="12"/>
      <c r="AS54" s="12"/>
      <c r="AT54" s="281"/>
      <c r="AU54" s="52"/>
      <c r="AV54" s="12"/>
      <c r="AW54" s="12" t="s">
        <v>100</v>
      </c>
      <c r="AX54" s="55" t="s">
        <v>299</v>
      </c>
      <c r="AY54" s="12" t="s">
        <v>786</v>
      </c>
      <c r="AZ54" s="281"/>
      <c r="BA54" s="281"/>
      <c r="BB54" s="52"/>
      <c r="BC54" s="281"/>
      <c r="BD54" s="281"/>
      <c r="BE54" s="281"/>
      <c r="BF54" s="53">
        <f t="shared" si="11"/>
        <v>0</v>
      </c>
      <c r="BG54" s="281"/>
      <c r="BH54" s="12" t="s">
        <v>105</v>
      </c>
      <c r="BI54" s="12" t="s">
        <v>671</v>
      </c>
      <c r="BJ54" s="12" t="s">
        <v>787</v>
      </c>
      <c r="BK54" s="564" t="s">
        <v>788</v>
      </c>
      <c r="BL54" s="284"/>
    </row>
    <row r="55" s="1" customFormat="1" spans="1:64">
      <c r="A55" s="54">
        <v>50</v>
      </c>
      <c r="B55" s="12">
        <v>2696</v>
      </c>
      <c r="C55" s="12" t="s">
        <v>658</v>
      </c>
      <c r="D55" s="12" t="s">
        <v>76</v>
      </c>
      <c r="E55" s="12" t="s">
        <v>659</v>
      </c>
      <c r="F55" s="12"/>
      <c r="G55" s="12" t="s">
        <v>789</v>
      </c>
      <c r="H55" s="12"/>
      <c r="I55" s="50" t="str">
        <f t="shared" si="0"/>
        <v>Indra Surya</v>
      </c>
      <c r="J55" s="55" t="s">
        <v>127</v>
      </c>
      <c r="K55" s="52" t="str">
        <f t="shared" si="12"/>
        <v>Laki-laki</v>
      </c>
      <c r="L55" s="12" t="s">
        <v>544</v>
      </c>
      <c r="M55" s="118" t="s">
        <v>790</v>
      </c>
      <c r="N55" s="119" t="str">
        <f ca="1" t="shared" si="2"/>
        <v>46 Tahun 4 Bulan </v>
      </c>
      <c r="O55" s="120" t="str">
        <f t="shared" si="10"/>
        <v>14 June 1979</v>
      </c>
      <c r="P55" s="52">
        <f ca="1" t="shared" si="7"/>
        <v>46</v>
      </c>
      <c r="Q55" s="52" t="str">
        <f ca="1" t="shared" si="8"/>
        <v>OKE</v>
      </c>
      <c r="R55" s="12" t="s">
        <v>791</v>
      </c>
      <c r="S55" s="12"/>
      <c r="T55" s="12"/>
      <c r="U55" s="12" t="s">
        <v>792</v>
      </c>
      <c r="V55" s="12" t="s">
        <v>290</v>
      </c>
      <c r="W55" s="12" t="s">
        <v>112</v>
      </c>
      <c r="X55" s="12" t="s">
        <v>783</v>
      </c>
      <c r="Y55" s="12">
        <v>3</v>
      </c>
      <c r="Z55" s="12"/>
      <c r="AA55" s="12"/>
      <c r="AB55" s="12" t="s">
        <v>544</v>
      </c>
      <c r="AC55" s="12">
        <v>77371</v>
      </c>
      <c r="AD55" s="12" t="s">
        <v>399</v>
      </c>
      <c r="AE55" s="12"/>
      <c r="AF55" s="566" t="s">
        <v>793</v>
      </c>
      <c r="AG55" s="12" t="s">
        <v>794</v>
      </c>
      <c r="AH55" s="281"/>
      <c r="AI55" s="281"/>
      <c r="AJ55" s="12" t="s">
        <v>795</v>
      </c>
      <c r="AK55" s="219">
        <v>41276</v>
      </c>
      <c r="AL55" s="119" t="str">
        <f ca="1" t="shared" si="9"/>
        <v>12 Tahun 10 Bulan </v>
      </c>
      <c r="AM55" s="12" t="s">
        <v>92</v>
      </c>
      <c r="AN55" s="12" t="s">
        <v>93</v>
      </c>
      <c r="AO55" s="12" t="s">
        <v>796</v>
      </c>
      <c r="AP55" s="12" t="s">
        <v>95</v>
      </c>
      <c r="AQ55" s="55" t="s">
        <v>797</v>
      </c>
      <c r="AR55" s="12"/>
      <c r="AS55" s="12"/>
      <c r="AT55" s="281"/>
      <c r="AU55" s="52"/>
      <c r="AV55" s="12"/>
      <c r="AW55" s="12" t="s">
        <v>100</v>
      </c>
      <c r="AX55" s="12" t="s">
        <v>120</v>
      </c>
      <c r="AY55" s="12"/>
      <c r="AZ55" s="281"/>
      <c r="BA55" s="281"/>
      <c r="BB55" s="52"/>
      <c r="BC55" s="281"/>
      <c r="BD55" s="281"/>
      <c r="BE55" s="281"/>
      <c r="BF55" s="53">
        <f t="shared" si="11"/>
        <v>0</v>
      </c>
      <c r="BG55" s="281"/>
      <c r="BH55" s="12" t="s">
        <v>105</v>
      </c>
      <c r="BI55" s="12" t="s">
        <v>671</v>
      </c>
      <c r="BJ55" s="12" t="s">
        <v>798</v>
      </c>
      <c r="BK55" s="564" t="s">
        <v>799</v>
      </c>
      <c r="BL55" s="284"/>
    </row>
    <row r="56" s="1" customFormat="1" spans="1:64">
      <c r="A56" s="54">
        <v>51</v>
      </c>
      <c r="B56" s="12">
        <v>2697</v>
      </c>
      <c r="C56" s="12" t="s">
        <v>658</v>
      </c>
      <c r="D56" s="12" t="s">
        <v>76</v>
      </c>
      <c r="E56" s="12" t="s">
        <v>659</v>
      </c>
      <c r="F56" s="12"/>
      <c r="G56" s="12" t="s">
        <v>800</v>
      </c>
      <c r="H56" s="12"/>
      <c r="I56" s="50" t="str">
        <f t="shared" si="0"/>
        <v>Normansyah</v>
      </c>
      <c r="J56" s="55" t="s">
        <v>127</v>
      </c>
      <c r="K56" s="52" t="str">
        <f t="shared" si="12"/>
        <v>Laki-laki</v>
      </c>
      <c r="L56" s="12" t="s">
        <v>544</v>
      </c>
      <c r="M56" s="118" t="s">
        <v>801</v>
      </c>
      <c r="N56" s="119" t="str">
        <f ca="1" t="shared" si="2"/>
        <v>36 Tahun 4 Bulan </v>
      </c>
      <c r="O56" s="120" t="str">
        <f t="shared" si="10"/>
        <v>01 July 1989</v>
      </c>
      <c r="P56" s="52">
        <f ca="1" t="shared" si="7"/>
        <v>36</v>
      </c>
      <c r="Q56" s="52" t="str">
        <f ca="1" t="shared" si="8"/>
        <v>OKE</v>
      </c>
      <c r="R56" s="12" t="s">
        <v>802</v>
      </c>
      <c r="S56" s="12"/>
      <c r="T56" s="12"/>
      <c r="U56" s="12" t="s">
        <v>129</v>
      </c>
      <c r="V56" s="12" t="s">
        <v>290</v>
      </c>
      <c r="W56" s="12" t="s">
        <v>112</v>
      </c>
      <c r="X56" s="12" t="s">
        <v>803</v>
      </c>
      <c r="Y56" s="12">
        <v>12</v>
      </c>
      <c r="Z56" s="12"/>
      <c r="AA56" s="12"/>
      <c r="AB56" s="12" t="s">
        <v>544</v>
      </c>
      <c r="AC56" s="12">
        <v>77371</v>
      </c>
      <c r="AD56" s="12" t="s">
        <v>399</v>
      </c>
      <c r="AE56" s="12"/>
      <c r="AF56" s="566" t="s">
        <v>804</v>
      </c>
      <c r="AG56" s="12" t="s">
        <v>805</v>
      </c>
      <c r="AH56" s="281"/>
      <c r="AI56" s="281"/>
      <c r="AJ56" s="12" t="s">
        <v>806</v>
      </c>
      <c r="AK56" s="219">
        <v>40603</v>
      </c>
      <c r="AL56" s="119" t="str">
        <f ca="1" t="shared" si="9"/>
        <v>14 Tahun 8 Bulan </v>
      </c>
      <c r="AM56" s="38" t="s">
        <v>309</v>
      </c>
      <c r="AN56" s="12" t="s">
        <v>93</v>
      </c>
      <c r="AO56" s="12" t="s">
        <v>807</v>
      </c>
      <c r="AP56" s="12" t="s">
        <v>297</v>
      </c>
      <c r="AQ56" s="12"/>
      <c r="AR56" s="12"/>
      <c r="AS56" s="12"/>
      <c r="AT56" s="281"/>
      <c r="AU56" s="52"/>
      <c r="AV56" s="12"/>
      <c r="AW56" s="12" t="s">
        <v>100</v>
      </c>
      <c r="AX56" s="12" t="s">
        <v>120</v>
      </c>
      <c r="AY56" s="12"/>
      <c r="AZ56" s="281"/>
      <c r="BA56" s="281"/>
      <c r="BB56" s="52"/>
      <c r="BC56" s="281"/>
      <c r="BD56" s="281"/>
      <c r="BE56" s="281"/>
      <c r="BF56" s="53">
        <f t="shared" si="11"/>
        <v>0</v>
      </c>
      <c r="BG56" s="281"/>
      <c r="BH56" s="12" t="s">
        <v>105</v>
      </c>
      <c r="BI56" s="12" t="s">
        <v>671</v>
      </c>
      <c r="BJ56" s="12" t="s">
        <v>808</v>
      </c>
      <c r="BK56" s="564" t="s">
        <v>809</v>
      </c>
      <c r="BL56" s="284"/>
    </row>
    <row r="57" s="1" customFormat="1" spans="1:64">
      <c r="A57" s="54">
        <v>52</v>
      </c>
      <c r="B57" s="12">
        <v>2698</v>
      </c>
      <c r="C57" s="12" t="s">
        <v>658</v>
      </c>
      <c r="D57" s="12" t="s">
        <v>76</v>
      </c>
      <c r="E57" s="12" t="s">
        <v>659</v>
      </c>
      <c r="F57" s="12"/>
      <c r="G57" s="12" t="s">
        <v>810</v>
      </c>
      <c r="H57" s="12" t="s">
        <v>177</v>
      </c>
      <c r="I57" s="50" t="str">
        <f t="shared" si="0"/>
        <v>Ayu Candra, S.Pd</v>
      </c>
      <c r="J57" s="55" t="s">
        <v>80</v>
      </c>
      <c r="K57" s="52" t="str">
        <f t="shared" si="12"/>
        <v>Perempuan</v>
      </c>
      <c r="L57" s="12" t="s">
        <v>811</v>
      </c>
      <c r="M57" s="118">
        <v>34647</v>
      </c>
      <c r="N57" s="119" t="str">
        <f ca="1" t="shared" si="2"/>
        <v>30 Tahun 11 Bulan </v>
      </c>
      <c r="O57" s="120" t="str">
        <f t="shared" si="10"/>
        <v>09 November 1994</v>
      </c>
      <c r="P57" s="52">
        <f ca="1" t="shared" si="7"/>
        <v>30</v>
      </c>
      <c r="Q57" s="52" t="str">
        <f ca="1" t="shared" si="8"/>
        <v>OKE</v>
      </c>
      <c r="R57" s="12" t="s">
        <v>812</v>
      </c>
      <c r="S57" s="12"/>
      <c r="T57" s="12"/>
      <c r="U57" s="12" t="s">
        <v>129</v>
      </c>
      <c r="V57" s="12" t="s">
        <v>290</v>
      </c>
      <c r="W57" s="12" t="s">
        <v>112</v>
      </c>
      <c r="X57" s="12" t="s">
        <v>783</v>
      </c>
      <c r="Y57" s="12">
        <v>3</v>
      </c>
      <c r="Z57" s="12"/>
      <c r="AA57" s="12"/>
      <c r="AB57" s="12" t="s">
        <v>544</v>
      </c>
      <c r="AC57" s="12">
        <v>77372</v>
      </c>
      <c r="AD57" s="12" t="s">
        <v>399</v>
      </c>
      <c r="AE57" s="12"/>
      <c r="AF57" s="12" t="s">
        <v>813</v>
      </c>
      <c r="AG57" s="12" t="s">
        <v>814</v>
      </c>
      <c r="AH57" s="281"/>
      <c r="AI57" s="281"/>
      <c r="AJ57" s="12" t="s">
        <v>667</v>
      </c>
      <c r="AK57" s="219">
        <v>42006</v>
      </c>
      <c r="AL57" s="119" t="str">
        <f ca="1" t="shared" si="9"/>
        <v>10 Tahun 10 Bulan </v>
      </c>
      <c r="AM57" s="12" t="s">
        <v>92</v>
      </c>
      <c r="AN57" s="12" t="s">
        <v>93</v>
      </c>
      <c r="AO57" s="12" t="s">
        <v>815</v>
      </c>
      <c r="AP57" s="12" t="s">
        <v>297</v>
      </c>
      <c r="AQ57" s="12"/>
      <c r="AR57" s="12"/>
      <c r="AS57" s="12"/>
      <c r="AT57" s="281"/>
      <c r="AU57" s="52"/>
      <c r="AV57" s="12"/>
      <c r="AW57" s="12" t="s">
        <v>100</v>
      </c>
      <c r="AX57" s="12" t="s">
        <v>101</v>
      </c>
      <c r="AY57" s="12" t="s">
        <v>816</v>
      </c>
      <c r="AZ57" s="281"/>
      <c r="BA57" s="281"/>
      <c r="BB57" s="52"/>
      <c r="BC57" s="281"/>
      <c r="BD57" s="281"/>
      <c r="BE57" s="281"/>
      <c r="BF57" s="53">
        <f t="shared" si="11"/>
        <v>0</v>
      </c>
      <c r="BG57" s="281"/>
      <c r="BH57" s="12" t="s">
        <v>105</v>
      </c>
      <c r="BI57" s="12" t="s">
        <v>671</v>
      </c>
      <c r="BJ57" s="12" t="s">
        <v>817</v>
      </c>
      <c r="BK57" s="556" t="s">
        <v>818</v>
      </c>
      <c r="BL57" s="284"/>
    </row>
    <row r="58" s="1" customFormat="1" spans="1:64">
      <c r="A58" s="54">
        <v>53</v>
      </c>
      <c r="B58" s="12">
        <v>2699</v>
      </c>
      <c r="C58" s="12" t="s">
        <v>658</v>
      </c>
      <c r="D58" s="12" t="s">
        <v>76</v>
      </c>
      <c r="E58" s="12" t="s">
        <v>659</v>
      </c>
      <c r="F58" s="12"/>
      <c r="G58" s="12" t="s">
        <v>819</v>
      </c>
      <c r="H58" s="12"/>
      <c r="I58" s="50" t="str">
        <f t="shared" si="0"/>
        <v>Baharuddin</v>
      </c>
      <c r="J58" s="12" t="s">
        <v>127</v>
      </c>
      <c r="K58" s="52" t="str">
        <f t="shared" si="12"/>
        <v>Laki-laki</v>
      </c>
      <c r="L58" s="12" t="s">
        <v>690</v>
      </c>
      <c r="M58" s="118">
        <v>26000</v>
      </c>
      <c r="N58" s="119" t="str">
        <f ca="1" t="shared" si="2"/>
        <v>54 Tahun 7 Bulan </v>
      </c>
      <c r="O58" s="120" t="str">
        <f t="shared" si="10"/>
        <v>08 March 1971</v>
      </c>
      <c r="P58" s="52">
        <f ca="1" t="shared" si="7"/>
        <v>54</v>
      </c>
      <c r="Q58" s="52" t="str">
        <f ca="1" t="shared" si="8"/>
        <v>OKE</v>
      </c>
      <c r="R58" s="556" t="s">
        <v>820</v>
      </c>
      <c r="S58" s="12"/>
      <c r="T58" s="12"/>
      <c r="U58" s="12" t="s">
        <v>274</v>
      </c>
      <c r="V58" s="12" t="s">
        <v>290</v>
      </c>
      <c r="W58" s="12" t="s">
        <v>112</v>
      </c>
      <c r="X58" s="12" t="s">
        <v>783</v>
      </c>
      <c r="Y58" s="12">
        <v>3</v>
      </c>
      <c r="Z58" s="12"/>
      <c r="AA58" s="12"/>
      <c r="AB58" s="12" t="s">
        <v>544</v>
      </c>
      <c r="AC58" s="12">
        <v>77371</v>
      </c>
      <c r="AD58" s="12" t="s">
        <v>399</v>
      </c>
      <c r="AE58" s="12"/>
      <c r="AF58" s="565" t="s">
        <v>821</v>
      </c>
      <c r="AG58" s="330" t="s">
        <v>822</v>
      </c>
      <c r="AH58" s="281"/>
      <c r="AI58" s="281"/>
      <c r="AJ58" s="12" t="s">
        <v>823</v>
      </c>
      <c r="AK58" s="219">
        <v>41641</v>
      </c>
      <c r="AL58" s="119" t="str">
        <f ca="1" t="shared" si="9"/>
        <v>11 Tahun 10 Bulan </v>
      </c>
      <c r="AM58" s="38" t="s">
        <v>309</v>
      </c>
      <c r="AN58" s="12" t="s">
        <v>93</v>
      </c>
      <c r="AO58" s="12" t="s">
        <v>824</v>
      </c>
      <c r="AP58" s="12" t="s">
        <v>95</v>
      </c>
      <c r="AQ58" s="12" t="s">
        <v>825</v>
      </c>
      <c r="AR58" s="12"/>
      <c r="AS58" s="12"/>
      <c r="AT58" s="281"/>
      <c r="AU58" s="52"/>
      <c r="AV58" s="12"/>
      <c r="AW58" s="12" t="s">
        <v>100</v>
      </c>
      <c r="AX58" s="12" t="s">
        <v>120</v>
      </c>
      <c r="AY58" s="12"/>
      <c r="AZ58" s="281"/>
      <c r="BA58" s="281"/>
      <c r="BB58" s="52"/>
      <c r="BC58" s="281"/>
      <c r="BD58" s="281"/>
      <c r="BE58" s="281"/>
      <c r="BF58" s="53">
        <f t="shared" si="11"/>
        <v>0</v>
      </c>
      <c r="BG58" s="281"/>
      <c r="BH58" s="12" t="s">
        <v>105</v>
      </c>
      <c r="BI58" s="12" t="s">
        <v>671</v>
      </c>
      <c r="BJ58" s="12" t="s">
        <v>826</v>
      </c>
      <c r="BK58" s="564" t="s">
        <v>827</v>
      </c>
      <c r="BL58" s="284"/>
    </row>
    <row r="59" s="1" customFormat="1" ht="15" customHeight="1" spans="1:64">
      <c r="A59" s="54">
        <v>54</v>
      </c>
      <c r="B59" s="298">
        <v>5127</v>
      </c>
      <c r="C59" s="51" t="s">
        <v>75</v>
      </c>
      <c r="D59" s="52" t="s">
        <v>76</v>
      </c>
      <c r="E59" s="52" t="s">
        <v>828</v>
      </c>
      <c r="F59" s="567" t="s">
        <v>156</v>
      </c>
      <c r="G59" s="299" t="s">
        <v>829</v>
      </c>
      <c r="H59" s="51" t="s">
        <v>830</v>
      </c>
      <c r="I59" s="113" t="str">
        <f t="shared" si="0"/>
        <v>Fenny Irawati, S.Pi</v>
      </c>
      <c r="J59" s="51" t="s">
        <v>80</v>
      </c>
      <c r="K59" s="121" t="str">
        <f t="shared" si="12"/>
        <v>Perempuan</v>
      </c>
      <c r="L59" s="51" t="s">
        <v>209</v>
      </c>
      <c r="M59" s="311">
        <v>29674</v>
      </c>
      <c r="N59" s="123" t="str">
        <f ca="1" t="shared" si="2"/>
        <v>44 Tahun 7 Bulan </v>
      </c>
      <c r="O59" s="124" t="str">
        <f t="shared" si="10"/>
        <v>29 March 1981</v>
      </c>
      <c r="P59" s="312">
        <f ca="1" t="shared" si="7"/>
        <v>44</v>
      </c>
      <c r="Q59" s="105" t="str">
        <f ca="1" t="shared" si="8"/>
        <v>OKE</v>
      </c>
      <c r="R59" s="568" t="s">
        <v>831</v>
      </c>
      <c r="S59" s="569" t="s">
        <v>156</v>
      </c>
      <c r="T59" s="569" t="s">
        <v>156</v>
      </c>
      <c r="U59" s="312" t="s">
        <v>129</v>
      </c>
      <c r="V59" s="312" t="s">
        <v>290</v>
      </c>
      <c r="W59" s="312" t="s">
        <v>112</v>
      </c>
      <c r="X59" s="195" t="s">
        <v>832</v>
      </c>
      <c r="Y59" s="312">
        <v>3</v>
      </c>
      <c r="Z59" s="570" t="s">
        <v>156</v>
      </c>
      <c r="AA59" s="195" t="s">
        <v>209</v>
      </c>
      <c r="AB59" s="312" t="s">
        <v>209</v>
      </c>
      <c r="AC59" s="323">
        <v>77352</v>
      </c>
      <c r="AD59" s="312" t="s">
        <v>209</v>
      </c>
      <c r="AE59" s="570" t="s">
        <v>156</v>
      </c>
      <c r="AF59" s="571" t="s">
        <v>833</v>
      </c>
      <c r="AG59" s="12" t="s">
        <v>834</v>
      </c>
      <c r="AH59" s="569" t="s">
        <v>156</v>
      </c>
      <c r="AI59" s="569" t="s">
        <v>156</v>
      </c>
      <c r="AJ59" s="52" t="s">
        <v>835</v>
      </c>
      <c r="AK59" s="331">
        <v>38534</v>
      </c>
      <c r="AL59" s="123" t="str">
        <f ca="1" t="shared" si="9"/>
        <v>20 Tahun 4 Bulan </v>
      </c>
      <c r="AM59" s="52" t="s">
        <v>836</v>
      </c>
      <c r="AN59" s="312" t="s">
        <v>93</v>
      </c>
      <c r="AO59" s="312" t="s">
        <v>837</v>
      </c>
      <c r="AP59" s="312" t="s">
        <v>838</v>
      </c>
      <c r="AQ59" s="312" t="s">
        <v>839</v>
      </c>
      <c r="AR59" s="572" t="s">
        <v>840</v>
      </c>
      <c r="AS59" s="312" t="s">
        <v>98</v>
      </c>
      <c r="AT59" s="573" t="s">
        <v>156</v>
      </c>
      <c r="AU59" s="574" t="s">
        <v>156</v>
      </c>
      <c r="AV59" s="39" t="s">
        <v>841</v>
      </c>
      <c r="AW59" s="312" t="s">
        <v>100</v>
      </c>
      <c r="AX59" s="312" t="s">
        <v>101</v>
      </c>
      <c r="AY59" s="312" t="s">
        <v>842</v>
      </c>
      <c r="AZ59" s="570" t="s">
        <v>156</v>
      </c>
      <c r="BA59" s="570" t="s">
        <v>156</v>
      </c>
      <c r="BB59" s="312" t="s">
        <v>111</v>
      </c>
      <c r="BC59" s="570" t="s">
        <v>156</v>
      </c>
      <c r="BD59" s="195">
        <v>0</v>
      </c>
      <c r="BE59" s="195">
        <v>24</v>
      </c>
      <c r="BF59" s="286">
        <f t="shared" si="11"/>
        <v>24</v>
      </c>
      <c r="BG59" s="570" t="s">
        <v>156</v>
      </c>
      <c r="BH59" s="195" t="s">
        <v>526</v>
      </c>
      <c r="BI59" s="312" t="s">
        <v>209</v>
      </c>
      <c r="BJ59" s="195" t="s">
        <v>843</v>
      </c>
      <c r="BK59" s="575" t="s">
        <v>844</v>
      </c>
      <c r="BL59" s="284"/>
    </row>
    <row r="60" s="1" customFormat="1" ht="15" customHeight="1" spans="1:64">
      <c r="A60" s="54">
        <v>55</v>
      </c>
      <c r="B60" s="298">
        <v>2672</v>
      </c>
      <c r="C60" s="51" t="s">
        <v>75</v>
      </c>
      <c r="D60" s="52" t="s">
        <v>76</v>
      </c>
      <c r="E60" s="52" t="s">
        <v>828</v>
      </c>
      <c r="F60" s="567" t="s">
        <v>156</v>
      </c>
      <c r="G60" s="299" t="s">
        <v>845</v>
      </c>
      <c r="H60" s="58"/>
      <c r="I60" s="113" t="str">
        <f t="shared" si="0"/>
        <v>Mulyono</v>
      </c>
      <c r="J60" s="58" t="s">
        <v>127</v>
      </c>
      <c r="K60" s="121" t="str">
        <f t="shared" ref="K60:K84" si="13">IF(J60="P","Perempuan",IF(J60="L","Laki-laki"))</f>
        <v>Laki-laki</v>
      </c>
      <c r="L60" s="51" t="s">
        <v>846</v>
      </c>
      <c r="M60" s="122">
        <v>27487</v>
      </c>
      <c r="N60" s="123" t="str">
        <f ca="1" t="shared" si="2"/>
        <v>50 Tahun 7 Bulan </v>
      </c>
      <c r="O60" s="124" t="str">
        <f t="shared" si="10"/>
        <v>03 April 1975</v>
      </c>
      <c r="P60" s="312">
        <f ca="1" t="shared" si="7"/>
        <v>50</v>
      </c>
      <c r="Q60" s="105" t="str">
        <f ca="1" t="shared" si="8"/>
        <v>OKE</v>
      </c>
      <c r="R60" s="576" t="s">
        <v>847</v>
      </c>
      <c r="S60" s="569" t="s">
        <v>156</v>
      </c>
      <c r="T60" s="569" t="s">
        <v>156</v>
      </c>
      <c r="U60" s="50" t="s">
        <v>848</v>
      </c>
      <c r="V60" s="312" t="s">
        <v>290</v>
      </c>
      <c r="W60" s="50" t="s">
        <v>112</v>
      </c>
      <c r="X60" s="53" t="s">
        <v>849</v>
      </c>
      <c r="Y60" s="50">
        <v>13</v>
      </c>
      <c r="Z60" s="570" t="s">
        <v>156</v>
      </c>
      <c r="AA60" s="53" t="s">
        <v>209</v>
      </c>
      <c r="AB60" s="50" t="s">
        <v>209</v>
      </c>
      <c r="AC60" s="36">
        <v>77352</v>
      </c>
      <c r="AD60" s="50" t="s">
        <v>209</v>
      </c>
      <c r="AE60" s="558" t="s">
        <v>156</v>
      </c>
      <c r="AF60" s="576" t="s">
        <v>850</v>
      </c>
      <c r="AG60" s="557" t="s">
        <v>156</v>
      </c>
      <c r="AH60" s="569" t="s">
        <v>156</v>
      </c>
      <c r="AI60" s="569" t="s">
        <v>156</v>
      </c>
      <c r="AJ60" s="50" t="s">
        <v>851</v>
      </c>
      <c r="AK60" s="122">
        <v>40909</v>
      </c>
      <c r="AL60" s="123" t="str">
        <f ca="1" t="shared" si="9"/>
        <v>13 Tahun 10 Bulan </v>
      </c>
      <c r="AM60" s="50" t="s">
        <v>92</v>
      </c>
      <c r="AN60" s="312" t="s">
        <v>93</v>
      </c>
      <c r="AO60" s="50" t="s">
        <v>852</v>
      </c>
      <c r="AP60" s="50" t="s">
        <v>838</v>
      </c>
      <c r="AQ60" s="50" t="s">
        <v>853</v>
      </c>
      <c r="AR60" s="558" t="s">
        <v>156</v>
      </c>
      <c r="AS60" s="557" t="s">
        <v>156</v>
      </c>
      <c r="AT60" s="558" t="s">
        <v>156</v>
      </c>
      <c r="AU60" s="557" t="s">
        <v>156</v>
      </c>
      <c r="AV60" s="558" t="s">
        <v>156</v>
      </c>
      <c r="AW60" s="52" t="s">
        <v>100</v>
      </c>
      <c r="AX60" s="50" t="s">
        <v>854</v>
      </c>
      <c r="AY60" s="557" t="s">
        <v>156</v>
      </c>
      <c r="AZ60" s="558" t="s">
        <v>156</v>
      </c>
      <c r="BA60" s="558" t="s">
        <v>156</v>
      </c>
      <c r="BB60" s="557" t="s">
        <v>156</v>
      </c>
      <c r="BC60" s="558" t="s">
        <v>156</v>
      </c>
      <c r="BD60" s="53">
        <v>0</v>
      </c>
      <c r="BE60" s="53">
        <v>24</v>
      </c>
      <c r="BF60" s="286">
        <f t="shared" si="11"/>
        <v>24</v>
      </c>
      <c r="BG60" s="558" t="s">
        <v>156</v>
      </c>
      <c r="BH60" s="195" t="s">
        <v>526</v>
      </c>
      <c r="BI60" s="50" t="s">
        <v>209</v>
      </c>
      <c r="BJ60" s="53" t="s">
        <v>845</v>
      </c>
      <c r="BK60" s="577" t="s">
        <v>855</v>
      </c>
      <c r="BL60" s="284"/>
    </row>
    <row r="61" s="1" customFormat="1" ht="15" customHeight="1" spans="1:64">
      <c r="A61" s="54">
        <v>56</v>
      </c>
      <c r="B61" s="298">
        <v>2673</v>
      </c>
      <c r="C61" s="51" t="s">
        <v>75</v>
      </c>
      <c r="D61" s="52" t="s">
        <v>76</v>
      </c>
      <c r="E61" s="52" t="s">
        <v>828</v>
      </c>
      <c r="F61" s="567" t="s">
        <v>156</v>
      </c>
      <c r="G61" s="299" t="s">
        <v>856</v>
      </c>
      <c r="H61" s="58"/>
      <c r="I61" s="113" t="str">
        <f t="shared" si="0"/>
        <v>Parnadi</v>
      </c>
      <c r="J61" s="58" t="s">
        <v>127</v>
      </c>
      <c r="K61" s="121" t="str">
        <f t="shared" si="13"/>
        <v>Laki-laki</v>
      </c>
      <c r="L61" s="51" t="s">
        <v>846</v>
      </c>
      <c r="M61" s="122">
        <v>33007</v>
      </c>
      <c r="N61" s="123" t="str">
        <f ca="1" t="shared" si="2"/>
        <v>35 Tahun 5 Bulan </v>
      </c>
      <c r="O61" s="124" t="str">
        <f t="shared" si="10"/>
        <v>14 May 1990</v>
      </c>
      <c r="P61" s="312">
        <f ca="1" t="shared" si="7"/>
        <v>35</v>
      </c>
      <c r="Q61" s="105" t="str">
        <f ca="1" t="shared" si="8"/>
        <v>OKE</v>
      </c>
      <c r="R61" s="576" t="s">
        <v>857</v>
      </c>
      <c r="S61" s="569" t="s">
        <v>156</v>
      </c>
      <c r="T61" s="569" t="s">
        <v>156</v>
      </c>
      <c r="U61" s="50" t="s">
        <v>274</v>
      </c>
      <c r="V61" s="312" t="s">
        <v>290</v>
      </c>
      <c r="W61" s="50" t="s">
        <v>112</v>
      </c>
      <c r="X61" s="53" t="s">
        <v>849</v>
      </c>
      <c r="Y61" s="50">
        <v>13</v>
      </c>
      <c r="Z61" s="570" t="s">
        <v>156</v>
      </c>
      <c r="AA61" s="53" t="s">
        <v>209</v>
      </c>
      <c r="AB61" s="50" t="s">
        <v>209</v>
      </c>
      <c r="AC61" s="36">
        <v>77352</v>
      </c>
      <c r="AD61" s="50" t="s">
        <v>209</v>
      </c>
      <c r="AE61" s="558" t="s">
        <v>156</v>
      </c>
      <c r="AF61" s="576" t="s">
        <v>858</v>
      </c>
      <c r="AG61" s="557" t="s">
        <v>156</v>
      </c>
      <c r="AH61" s="569" t="s">
        <v>156</v>
      </c>
      <c r="AI61" s="569" t="s">
        <v>156</v>
      </c>
      <c r="AJ61" s="50" t="s">
        <v>859</v>
      </c>
      <c r="AK61" s="122">
        <v>41456</v>
      </c>
      <c r="AL61" s="123" t="str">
        <f ca="1" t="shared" si="9"/>
        <v>12 Tahun 4 Bulan </v>
      </c>
      <c r="AM61" s="50" t="s">
        <v>92</v>
      </c>
      <c r="AN61" s="312" t="s">
        <v>93</v>
      </c>
      <c r="AO61" s="50" t="s">
        <v>852</v>
      </c>
      <c r="AP61" s="50" t="s">
        <v>297</v>
      </c>
      <c r="AQ61" s="557" t="s">
        <v>156</v>
      </c>
      <c r="AR61" s="558" t="s">
        <v>156</v>
      </c>
      <c r="AS61" s="557" t="s">
        <v>156</v>
      </c>
      <c r="AT61" s="558" t="s">
        <v>156</v>
      </c>
      <c r="AU61" s="557" t="s">
        <v>156</v>
      </c>
      <c r="AV61" s="558" t="s">
        <v>156</v>
      </c>
      <c r="AW61" s="52" t="s">
        <v>100</v>
      </c>
      <c r="AX61" s="50" t="s">
        <v>860</v>
      </c>
      <c r="AY61" s="557" t="s">
        <v>156</v>
      </c>
      <c r="AZ61" s="558" t="s">
        <v>156</v>
      </c>
      <c r="BA61" s="558" t="s">
        <v>156</v>
      </c>
      <c r="BB61" s="557" t="s">
        <v>156</v>
      </c>
      <c r="BC61" s="558" t="s">
        <v>156</v>
      </c>
      <c r="BD61" s="53">
        <v>0</v>
      </c>
      <c r="BE61" s="53">
        <v>12</v>
      </c>
      <c r="BF61" s="286">
        <f t="shared" si="11"/>
        <v>12</v>
      </c>
      <c r="BG61" s="558" t="s">
        <v>156</v>
      </c>
      <c r="BH61" s="195" t="s">
        <v>526</v>
      </c>
      <c r="BI61" s="50" t="s">
        <v>209</v>
      </c>
      <c r="BJ61" s="53" t="s">
        <v>856</v>
      </c>
      <c r="BK61" s="353" t="s">
        <v>861</v>
      </c>
      <c r="BL61" s="284"/>
    </row>
    <row r="62" s="1" customFormat="1" ht="15" customHeight="1" spans="1:64">
      <c r="A62" s="54">
        <v>57</v>
      </c>
      <c r="B62" s="298">
        <v>2670</v>
      </c>
      <c r="C62" s="51" t="s">
        <v>75</v>
      </c>
      <c r="D62" s="52" t="s">
        <v>76</v>
      </c>
      <c r="E62" s="52" t="s">
        <v>828</v>
      </c>
      <c r="F62" s="567" t="s">
        <v>156</v>
      </c>
      <c r="G62" s="299" t="s">
        <v>862</v>
      </c>
      <c r="H62" s="58"/>
      <c r="I62" s="113" t="str">
        <f t="shared" si="0"/>
        <v>Dedi Agus Supriadi</v>
      </c>
      <c r="J62" s="58" t="s">
        <v>127</v>
      </c>
      <c r="K62" s="52" t="str">
        <f t="shared" si="13"/>
        <v>Laki-laki</v>
      </c>
      <c r="L62" s="51" t="s">
        <v>209</v>
      </c>
      <c r="M62" s="122">
        <v>26891</v>
      </c>
      <c r="N62" s="119" t="str">
        <f ca="1" t="shared" si="2"/>
        <v>52 Tahun 2 Bulan </v>
      </c>
      <c r="O62" s="120" t="str">
        <f t="shared" si="10"/>
        <v>15 August 1973</v>
      </c>
      <c r="P62" s="52">
        <f ca="1" t="shared" si="7"/>
        <v>52</v>
      </c>
      <c r="Q62" s="105" t="str">
        <f ca="1" t="shared" si="8"/>
        <v>OKE</v>
      </c>
      <c r="R62" s="578" t="s">
        <v>863</v>
      </c>
      <c r="S62" s="567" t="s">
        <v>156</v>
      </c>
      <c r="T62" s="567" t="s">
        <v>156</v>
      </c>
      <c r="U62" s="12" t="s">
        <v>750</v>
      </c>
      <c r="V62" s="52" t="s">
        <v>290</v>
      </c>
      <c r="W62" s="50" t="s">
        <v>112</v>
      </c>
      <c r="X62" s="53" t="s">
        <v>864</v>
      </c>
      <c r="Y62" s="50">
        <v>6</v>
      </c>
      <c r="Z62" s="579" t="s">
        <v>156</v>
      </c>
      <c r="AA62" s="53" t="s">
        <v>209</v>
      </c>
      <c r="AB62" s="50" t="s">
        <v>209</v>
      </c>
      <c r="AC62" s="36">
        <v>77352</v>
      </c>
      <c r="AD62" s="50" t="s">
        <v>209</v>
      </c>
      <c r="AE62" s="558" t="s">
        <v>156</v>
      </c>
      <c r="AF62" s="576" t="s">
        <v>865</v>
      </c>
      <c r="AG62" s="557" t="s">
        <v>156</v>
      </c>
      <c r="AH62" s="567" t="s">
        <v>156</v>
      </c>
      <c r="AI62" s="567" t="s">
        <v>156</v>
      </c>
      <c r="AJ62" s="50" t="s">
        <v>866</v>
      </c>
      <c r="AK62" s="122">
        <v>42186</v>
      </c>
      <c r="AL62" s="123" t="str">
        <f ca="1" t="shared" si="9"/>
        <v>10 Tahun 4 Bulan </v>
      </c>
      <c r="AM62" s="50" t="s">
        <v>92</v>
      </c>
      <c r="AN62" s="52" t="s">
        <v>93</v>
      </c>
      <c r="AO62" s="50" t="s">
        <v>867</v>
      </c>
      <c r="AP62" s="50" t="s">
        <v>838</v>
      </c>
      <c r="AQ62" s="50" t="s">
        <v>868</v>
      </c>
      <c r="AR62" s="558" t="s">
        <v>156</v>
      </c>
      <c r="AS62" s="557" t="s">
        <v>156</v>
      </c>
      <c r="AT62" s="558" t="s">
        <v>156</v>
      </c>
      <c r="AU62" s="557" t="s">
        <v>156</v>
      </c>
      <c r="AV62" s="558" t="s">
        <v>156</v>
      </c>
      <c r="AW62" s="52" t="s">
        <v>100</v>
      </c>
      <c r="AX62" s="50" t="s">
        <v>854</v>
      </c>
      <c r="AY62" s="557" t="s">
        <v>156</v>
      </c>
      <c r="AZ62" s="558" t="s">
        <v>156</v>
      </c>
      <c r="BA62" s="558" t="s">
        <v>156</v>
      </c>
      <c r="BB62" s="557" t="s">
        <v>156</v>
      </c>
      <c r="BC62" s="558" t="s">
        <v>156</v>
      </c>
      <c r="BD62" s="53">
        <v>0</v>
      </c>
      <c r="BE62" s="53">
        <v>24</v>
      </c>
      <c r="BF62" s="53">
        <f t="shared" si="11"/>
        <v>24</v>
      </c>
      <c r="BG62" s="558" t="s">
        <v>156</v>
      </c>
      <c r="BH62" s="281" t="s">
        <v>526</v>
      </c>
      <c r="BI62" s="50" t="s">
        <v>209</v>
      </c>
      <c r="BJ62" s="53" t="s">
        <v>862</v>
      </c>
      <c r="BK62" s="580" t="s">
        <v>869</v>
      </c>
      <c r="BL62" s="284"/>
    </row>
    <row r="63" s="40" customFormat="1" ht="24" customHeight="1" spans="1:255">
      <c r="A63" s="54">
        <v>58</v>
      </c>
      <c r="B63" s="300">
        <v>2674</v>
      </c>
      <c r="C63" s="300" t="s">
        <v>658</v>
      </c>
      <c r="D63" s="300" t="s">
        <v>76</v>
      </c>
      <c r="E63" s="300" t="s">
        <v>870</v>
      </c>
      <c r="F63" s="301"/>
      <c r="G63" s="302" t="s">
        <v>871</v>
      </c>
      <c r="H63" s="303" t="s">
        <v>872</v>
      </c>
      <c r="I63" s="113" t="str">
        <f t="shared" si="0"/>
        <v>Reka Irawanti, S.PdI</v>
      </c>
      <c r="J63" s="313" t="s">
        <v>80</v>
      </c>
      <c r="K63" s="102" t="str">
        <f t="shared" si="13"/>
        <v>Perempuan</v>
      </c>
      <c r="L63" s="314" t="s">
        <v>131</v>
      </c>
      <c r="M63" s="131">
        <v>29971</v>
      </c>
      <c r="N63" s="225" t="str">
        <f ca="1" t="shared" si="2"/>
        <v>43 Tahun 9 Bulan </v>
      </c>
      <c r="O63" s="315" t="str">
        <f t="shared" si="10"/>
        <v>20 January 1982</v>
      </c>
      <c r="P63" s="300">
        <f ca="1" t="shared" si="7"/>
        <v>43</v>
      </c>
      <c r="Q63" s="300" t="str">
        <f ca="1" t="shared" si="8"/>
        <v>OKE</v>
      </c>
      <c r="R63" s="321" t="s">
        <v>873</v>
      </c>
      <c r="S63" s="301"/>
      <c r="T63" s="581" t="s">
        <v>874</v>
      </c>
      <c r="U63" s="321" t="s">
        <v>83</v>
      </c>
      <c r="V63" s="129" t="s">
        <v>290</v>
      </c>
      <c r="W63" s="300" t="s">
        <v>112</v>
      </c>
      <c r="X63" s="314" t="s">
        <v>875</v>
      </c>
      <c r="Y63" s="313">
        <v>7</v>
      </c>
      <c r="Z63" s="313"/>
      <c r="AA63" s="314"/>
      <c r="AB63" s="314" t="s">
        <v>131</v>
      </c>
      <c r="AC63" s="313">
        <v>77315</v>
      </c>
      <c r="AD63" s="314" t="s">
        <v>131</v>
      </c>
      <c r="AE63" s="314"/>
      <c r="AF63" s="581" t="s">
        <v>876</v>
      </c>
      <c r="AG63" s="314" t="s">
        <v>877</v>
      </c>
      <c r="AH63" s="301"/>
      <c r="AI63" s="301"/>
      <c r="AJ63" s="314" t="s">
        <v>878</v>
      </c>
      <c r="AK63" s="582" t="s">
        <v>879</v>
      </c>
      <c r="AL63" s="225" t="str">
        <f ca="1" t="shared" si="9"/>
        <v>17 Tahun 4 Bulan </v>
      </c>
      <c r="AM63" s="314" t="s">
        <v>880</v>
      </c>
      <c r="AN63" s="129" t="s">
        <v>93</v>
      </c>
      <c r="AO63" s="321" t="s">
        <v>881</v>
      </c>
      <c r="AP63" s="314" t="s">
        <v>95</v>
      </c>
      <c r="AQ63" s="314" t="s">
        <v>882</v>
      </c>
      <c r="AR63" s="314"/>
      <c r="AS63" s="314" t="s">
        <v>188</v>
      </c>
      <c r="AT63" s="314"/>
      <c r="AU63" s="314" t="s">
        <v>883</v>
      </c>
      <c r="AV63" s="314" t="s">
        <v>884</v>
      </c>
      <c r="AW63" s="313" t="s">
        <v>100</v>
      </c>
      <c r="AX63" s="65" t="s">
        <v>885</v>
      </c>
      <c r="AY63" s="314" t="s">
        <v>886</v>
      </c>
      <c r="AZ63" s="301"/>
      <c r="BA63" s="301"/>
      <c r="BB63" s="343" t="s">
        <v>346</v>
      </c>
      <c r="BC63" s="301" t="s">
        <v>887</v>
      </c>
      <c r="BD63" s="300"/>
      <c r="BE63" s="300">
        <v>28</v>
      </c>
      <c r="BF63" s="300">
        <v>28</v>
      </c>
      <c r="BG63" s="39" t="s">
        <v>606</v>
      </c>
      <c r="BH63" s="313" t="s">
        <v>526</v>
      </c>
      <c r="BI63" s="313" t="s">
        <v>131</v>
      </c>
      <c r="BJ63" s="354" t="s">
        <v>871</v>
      </c>
      <c r="BK63" s="321">
        <v>1122050455</v>
      </c>
      <c r="BL63" s="355"/>
      <c r="BM63" s="287"/>
      <c r="BN63" s="287"/>
      <c r="BO63" s="287"/>
      <c r="BP63" s="287"/>
      <c r="BQ63" s="287"/>
      <c r="BR63" s="287"/>
      <c r="BS63" s="287"/>
      <c r="BT63" s="287"/>
      <c r="BU63" s="287"/>
      <c r="BV63" s="287"/>
      <c r="BW63" s="287"/>
      <c r="BX63" s="287"/>
      <c r="BY63" s="287"/>
      <c r="BZ63" s="287"/>
      <c r="CA63" s="287"/>
      <c r="CB63" s="287"/>
      <c r="CC63" s="287"/>
      <c r="CD63" s="287"/>
      <c r="CE63" s="287"/>
      <c r="CF63" s="287"/>
      <c r="CG63" s="287"/>
      <c r="CH63" s="287"/>
      <c r="CI63" s="287"/>
      <c r="CJ63" s="287"/>
      <c r="CK63" s="287"/>
      <c r="CL63" s="287"/>
      <c r="CM63" s="287"/>
      <c r="CN63" s="287"/>
      <c r="CO63" s="287"/>
      <c r="CP63" s="287"/>
      <c r="CQ63" s="287"/>
      <c r="CR63" s="287"/>
      <c r="CS63" s="287"/>
      <c r="CT63" s="287"/>
      <c r="CU63" s="287"/>
      <c r="CV63" s="287"/>
      <c r="CW63" s="287"/>
      <c r="CX63" s="287"/>
      <c r="CY63" s="287"/>
      <c r="CZ63" s="287"/>
      <c r="DA63" s="287"/>
      <c r="DB63" s="287"/>
      <c r="DC63" s="287"/>
      <c r="DD63" s="287"/>
      <c r="DE63" s="287"/>
      <c r="DF63" s="287"/>
      <c r="DG63" s="287"/>
      <c r="DH63" s="287"/>
      <c r="DI63" s="287"/>
      <c r="DJ63" s="287"/>
      <c r="DK63" s="287"/>
      <c r="DL63" s="287"/>
      <c r="DM63" s="287"/>
      <c r="DN63" s="287"/>
      <c r="DO63" s="287"/>
      <c r="DP63" s="287"/>
      <c r="DQ63" s="287"/>
      <c r="DR63" s="287"/>
      <c r="DS63" s="287"/>
      <c r="DT63" s="287"/>
      <c r="DU63" s="287"/>
      <c r="DV63" s="287"/>
      <c r="DW63" s="287"/>
      <c r="DX63" s="287"/>
      <c r="DY63" s="287"/>
      <c r="DZ63" s="287"/>
      <c r="EA63" s="287"/>
      <c r="EB63" s="287"/>
      <c r="EC63" s="287"/>
      <c r="ED63" s="287"/>
      <c r="EE63" s="287"/>
      <c r="EF63" s="287"/>
      <c r="EG63" s="287"/>
      <c r="EH63" s="287"/>
      <c r="EI63" s="287"/>
      <c r="EJ63" s="287"/>
      <c r="EK63" s="287"/>
      <c r="EL63" s="287"/>
      <c r="EM63" s="287"/>
      <c r="EN63" s="287"/>
      <c r="EO63" s="287"/>
      <c r="EP63" s="287"/>
      <c r="EQ63" s="287"/>
      <c r="ER63" s="287"/>
      <c r="ES63" s="287"/>
      <c r="ET63" s="287"/>
      <c r="EU63" s="287"/>
      <c r="EV63" s="287"/>
      <c r="EW63" s="287"/>
      <c r="EX63" s="287"/>
      <c r="EY63" s="287"/>
      <c r="EZ63" s="287"/>
      <c r="FA63" s="287"/>
      <c r="FB63" s="287"/>
      <c r="FC63" s="287"/>
      <c r="FD63" s="287"/>
      <c r="FE63" s="287"/>
      <c r="FF63" s="287"/>
      <c r="FG63" s="287"/>
      <c r="FH63" s="287"/>
      <c r="FI63" s="287"/>
      <c r="FJ63" s="287"/>
      <c r="FK63" s="287"/>
      <c r="FL63" s="287"/>
      <c r="FM63" s="287"/>
      <c r="FN63" s="287"/>
      <c r="FO63" s="287"/>
      <c r="FP63" s="287"/>
      <c r="FQ63" s="287"/>
      <c r="FR63" s="287"/>
      <c r="FS63" s="287"/>
      <c r="FT63" s="287"/>
      <c r="FU63" s="287"/>
      <c r="FV63" s="287"/>
      <c r="FW63" s="287"/>
      <c r="FX63" s="287"/>
      <c r="FY63" s="287"/>
      <c r="FZ63" s="287"/>
      <c r="GA63" s="287"/>
      <c r="GB63" s="287"/>
      <c r="GC63" s="287"/>
      <c r="GD63" s="287"/>
      <c r="GE63" s="287"/>
      <c r="GF63" s="287"/>
      <c r="GG63" s="287"/>
      <c r="GH63" s="287"/>
      <c r="GI63" s="287"/>
      <c r="GJ63" s="287"/>
      <c r="GK63" s="287"/>
      <c r="GL63" s="287"/>
      <c r="GM63" s="287"/>
      <c r="GN63" s="287"/>
      <c r="GO63" s="287"/>
      <c r="GP63" s="287"/>
      <c r="GQ63" s="287"/>
      <c r="GR63" s="287"/>
      <c r="GS63" s="287"/>
      <c r="GT63" s="287"/>
      <c r="GU63" s="287"/>
      <c r="GV63" s="287"/>
      <c r="GW63" s="287"/>
      <c r="GX63" s="287"/>
      <c r="GY63" s="287"/>
      <c r="GZ63" s="287"/>
      <c r="HA63" s="287"/>
      <c r="HB63" s="287"/>
      <c r="HC63" s="287"/>
      <c r="HD63" s="287"/>
      <c r="HE63" s="287"/>
      <c r="HF63" s="287"/>
      <c r="HG63" s="287"/>
      <c r="HH63" s="287"/>
      <c r="HI63" s="287"/>
      <c r="HJ63" s="287"/>
      <c r="HK63" s="287"/>
      <c r="HL63" s="287"/>
      <c r="HM63" s="287"/>
      <c r="HN63" s="287"/>
      <c r="HO63" s="287"/>
      <c r="HP63" s="287"/>
      <c r="HQ63" s="287"/>
      <c r="HR63" s="287"/>
      <c r="HS63" s="287"/>
      <c r="HT63" s="287"/>
      <c r="HU63" s="287"/>
      <c r="HV63" s="287"/>
      <c r="HW63" s="287"/>
      <c r="HX63" s="287"/>
      <c r="HY63" s="287"/>
      <c r="HZ63" s="287"/>
      <c r="IA63" s="287"/>
      <c r="IB63" s="287"/>
      <c r="IC63" s="287"/>
      <c r="ID63" s="287"/>
      <c r="IE63" s="287"/>
      <c r="IF63" s="287"/>
      <c r="IG63" s="287"/>
      <c r="IH63" s="287"/>
      <c r="II63" s="287"/>
      <c r="IJ63" s="287"/>
      <c r="IK63" s="287"/>
      <c r="IL63" s="287"/>
      <c r="IM63" s="287"/>
      <c r="IN63" s="287"/>
      <c r="IO63" s="287"/>
      <c r="IP63" s="287"/>
      <c r="IQ63" s="287"/>
      <c r="IR63" s="287"/>
      <c r="IS63" s="287"/>
      <c r="IT63" s="287"/>
      <c r="IU63" s="287"/>
    </row>
    <row r="64" s="40" customFormat="1" ht="24" customHeight="1" spans="1:255">
      <c r="A64" s="54">
        <v>59</v>
      </c>
      <c r="B64" s="63">
        <v>2675</v>
      </c>
      <c r="C64" s="63" t="s">
        <v>658</v>
      </c>
      <c r="D64" s="63" t="s">
        <v>76</v>
      </c>
      <c r="E64" s="63" t="s">
        <v>870</v>
      </c>
      <c r="F64" s="64"/>
      <c r="G64" s="67" t="s">
        <v>888</v>
      </c>
      <c r="H64" s="66" t="s">
        <v>889</v>
      </c>
      <c r="I64" s="113" t="str">
        <f t="shared" si="0"/>
        <v>Susilawati, S.Kom</v>
      </c>
      <c r="J64" s="129" t="s">
        <v>80</v>
      </c>
      <c r="K64" s="102" t="str">
        <f t="shared" si="13"/>
        <v>Perempuan</v>
      </c>
      <c r="L64" s="130" t="s">
        <v>88</v>
      </c>
      <c r="M64" s="131">
        <v>29496</v>
      </c>
      <c r="N64" s="132" t="str">
        <f ca="1" t="shared" si="2"/>
        <v>45 Tahun 1 Bulan </v>
      </c>
      <c r="O64" s="133" t="str">
        <f t="shared" si="10"/>
        <v>02 October 1980</v>
      </c>
      <c r="P64" s="63">
        <f ca="1" t="shared" si="7"/>
        <v>45</v>
      </c>
      <c r="Q64" s="63" t="str">
        <f ca="1" t="shared" si="8"/>
        <v>OKE</v>
      </c>
      <c r="R64" s="65" t="s">
        <v>890</v>
      </c>
      <c r="S64" s="64"/>
      <c r="T64" s="583" t="s">
        <v>891</v>
      </c>
      <c r="U64" s="65" t="s">
        <v>379</v>
      </c>
      <c r="V64" s="129" t="s">
        <v>290</v>
      </c>
      <c r="W64" s="63" t="s">
        <v>112</v>
      </c>
      <c r="X64" s="130" t="s">
        <v>892</v>
      </c>
      <c r="Y64" s="129">
        <v>13</v>
      </c>
      <c r="Z64" s="129"/>
      <c r="AA64" s="130"/>
      <c r="AB64" s="130" t="s">
        <v>893</v>
      </c>
      <c r="AC64" s="129">
        <v>77353</v>
      </c>
      <c r="AD64" s="130" t="s">
        <v>131</v>
      </c>
      <c r="AE64" s="130"/>
      <c r="AF64" s="583" t="s">
        <v>894</v>
      </c>
      <c r="AG64" s="130" t="s">
        <v>895</v>
      </c>
      <c r="AH64" s="64"/>
      <c r="AI64" s="64"/>
      <c r="AJ64" s="130" t="s">
        <v>896</v>
      </c>
      <c r="AK64" s="584" t="s">
        <v>215</v>
      </c>
      <c r="AL64" s="225" t="str">
        <f ca="1" t="shared" si="9"/>
        <v>17 Tahun 10 Bulan </v>
      </c>
      <c r="AM64" s="130" t="s">
        <v>880</v>
      </c>
      <c r="AN64" s="129" t="s">
        <v>93</v>
      </c>
      <c r="AO64" s="65" t="s">
        <v>897</v>
      </c>
      <c r="AP64" s="130" t="s">
        <v>95</v>
      </c>
      <c r="AQ64" s="130" t="s">
        <v>898</v>
      </c>
      <c r="AR64" s="583" t="s">
        <v>899</v>
      </c>
      <c r="AS64" s="130" t="s">
        <v>900</v>
      </c>
      <c r="AT64" s="130"/>
      <c r="AU64" s="130" t="s">
        <v>883</v>
      </c>
      <c r="AV64" s="130" t="s">
        <v>901</v>
      </c>
      <c r="AW64" s="129" t="s">
        <v>100</v>
      </c>
      <c r="AX64" s="65" t="s">
        <v>101</v>
      </c>
      <c r="AY64" s="130" t="s">
        <v>902</v>
      </c>
      <c r="AZ64" s="64"/>
      <c r="BA64" s="64"/>
      <c r="BB64" s="344" t="s">
        <v>346</v>
      </c>
      <c r="BC64" s="64" t="s">
        <v>903</v>
      </c>
      <c r="BD64" s="63"/>
      <c r="BE64" s="63">
        <v>28</v>
      </c>
      <c r="BF64" s="63">
        <v>28</v>
      </c>
      <c r="BG64" s="39" t="s">
        <v>141</v>
      </c>
      <c r="BH64" s="313" t="s">
        <v>526</v>
      </c>
      <c r="BI64" s="129" t="s">
        <v>131</v>
      </c>
      <c r="BJ64" s="356" t="s">
        <v>888</v>
      </c>
      <c r="BK64" s="130">
        <v>1122050463</v>
      </c>
      <c r="BL64" s="355"/>
      <c r="BM64" s="287"/>
      <c r="BN64" s="287"/>
      <c r="BO64" s="287"/>
      <c r="BP64" s="287"/>
      <c r="BQ64" s="287"/>
      <c r="BR64" s="287"/>
      <c r="BS64" s="287"/>
      <c r="BT64" s="287"/>
      <c r="BU64" s="287"/>
      <c r="BV64" s="287"/>
      <c r="BW64" s="287"/>
      <c r="BX64" s="287"/>
      <c r="BY64" s="287"/>
      <c r="BZ64" s="287"/>
      <c r="CA64" s="287"/>
      <c r="CB64" s="287"/>
      <c r="CC64" s="287"/>
      <c r="CD64" s="287"/>
      <c r="CE64" s="287"/>
      <c r="CF64" s="287"/>
      <c r="CG64" s="287"/>
      <c r="CH64" s="287"/>
      <c r="CI64" s="287"/>
      <c r="CJ64" s="287"/>
      <c r="CK64" s="287"/>
      <c r="CL64" s="287"/>
      <c r="CM64" s="287"/>
      <c r="CN64" s="287"/>
      <c r="CO64" s="287"/>
      <c r="CP64" s="287"/>
      <c r="CQ64" s="287"/>
      <c r="CR64" s="287"/>
      <c r="CS64" s="287"/>
      <c r="CT64" s="287"/>
      <c r="CU64" s="287"/>
      <c r="CV64" s="287"/>
      <c r="CW64" s="287"/>
      <c r="CX64" s="287"/>
      <c r="CY64" s="287"/>
      <c r="CZ64" s="287"/>
      <c r="DA64" s="287"/>
      <c r="DB64" s="287"/>
      <c r="DC64" s="287"/>
      <c r="DD64" s="287"/>
      <c r="DE64" s="287"/>
      <c r="DF64" s="287"/>
      <c r="DG64" s="287"/>
      <c r="DH64" s="287"/>
      <c r="DI64" s="287"/>
      <c r="DJ64" s="287"/>
      <c r="DK64" s="287"/>
      <c r="DL64" s="287"/>
      <c r="DM64" s="287"/>
      <c r="DN64" s="287"/>
      <c r="DO64" s="287"/>
      <c r="DP64" s="287"/>
      <c r="DQ64" s="287"/>
      <c r="DR64" s="287"/>
      <c r="DS64" s="287"/>
      <c r="DT64" s="287"/>
      <c r="DU64" s="287"/>
      <c r="DV64" s="287"/>
      <c r="DW64" s="287"/>
      <c r="DX64" s="287"/>
      <c r="DY64" s="287"/>
      <c r="DZ64" s="287"/>
      <c r="EA64" s="287"/>
      <c r="EB64" s="287"/>
      <c r="EC64" s="287"/>
      <c r="ED64" s="287"/>
      <c r="EE64" s="287"/>
      <c r="EF64" s="287"/>
      <c r="EG64" s="287"/>
      <c r="EH64" s="287"/>
      <c r="EI64" s="287"/>
      <c r="EJ64" s="287"/>
      <c r="EK64" s="287"/>
      <c r="EL64" s="287"/>
      <c r="EM64" s="287"/>
      <c r="EN64" s="287"/>
      <c r="EO64" s="287"/>
      <c r="EP64" s="287"/>
      <c r="EQ64" s="287"/>
      <c r="ER64" s="287"/>
      <c r="ES64" s="287"/>
      <c r="ET64" s="287"/>
      <c r="EU64" s="287"/>
      <c r="EV64" s="287"/>
      <c r="EW64" s="287"/>
      <c r="EX64" s="287"/>
      <c r="EY64" s="287"/>
      <c r="EZ64" s="287"/>
      <c r="FA64" s="287"/>
      <c r="FB64" s="287"/>
      <c r="FC64" s="287"/>
      <c r="FD64" s="287"/>
      <c r="FE64" s="287"/>
      <c r="FF64" s="287"/>
      <c r="FG64" s="287"/>
      <c r="FH64" s="287"/>
      <c r="FI64" s="287"/>
      <c r="FJ64" s="287"/>
      <c r="FK64" s="287"/>
      <c r="FL64" s="287"/>
      <c r="FM64" s="287"/>
      <c r="FN64" s="287"/>
      <c r="FO64" s="287"/>
      <c r="FP64" s="287"/>
      <c r="FQ64" s="287"/>
      <c r="FR64" s="287"/>
      <c r="FS64" s="287"/>
      <c r="FT64" s="287"/>
      <c r="FU64" s="287"/>
      <c r="FV64" s="287"/>
      <c r="FW64" s="287"/>
      <c r="FX64" s="287"/>
      <c r="FY64" s="287"/>
      <c r="FZ64" s="287"/>
      <c r="GA64" s="287"/>
      <c r="GB64" s="287"/>
      <c r="GC64" s="287"/>
      <c r="GD64" s="287"/>
      <c r="GE64" s="287"/>
      <c r="GF64" s="287"/>
      <c r="GG64" s="287"/>
      <c r="GH64" s="287"/>
      <c r="GI64" s="287"/>
      <c r="GJ64" s="287"/>
      <c r="GK64" s="287"/>
      <c r="GL64" s="287"/>
      <c r="GM64" s="287"/>
      <c r="GN64" s="287"/>
      <c r="GO64" s="287"/>
      <c r="GP64" s="287"/>
      <c r="GQ64" s="287"/>
      <c r="GR64" s="287"/>
      <c r="GS64" s="287"/>
      <c r="GT64" s="287"/>
      <c r="GU64" s="287"/>
      <c r="GV64" s="287"/>
      <c r="GW64" s="287"/>
      <c r="GX64" s="287"/>
      <c r="GY64" s="287"/>
      <c r="GZ64" s="287"/>
      <c r="HA64" s="287"/>
      <c r="HB64" s="287"/>
      <c r="HC64" s="287"/>
      <c r="HD64" s="287"/>
      <c r="HE64" s="287"/>
      <c r="HF64" s="287"/>
      <c r="HG64" s="287"/>
      <c r="HH64" s="287"/>
      <c r="HI64" s="287"/>
      <c r="HJ64" s="287"/>
      <c r="HK64" s="287"/>
      <c r="HL64" s="287"/>
      <c r="HM64" s="287"/>
      <c r="HN64" s="287"/>
      <c r="HO64" s="287"/>
      <c r="HP64" s="287"/>
      <c r="HQ64" s="287"/>
      <c r="HR64" s="287"/>
      <c r="HS64" s="287"/>
      <c r="HT64" s="287"/>
      <c r="HU64" s="287"/>
      <c r="HV64" s="287"/>
      <c r="HW64" s="287"/>
      <c r="HX64" s="287"/>
      <c r="HY64" s="287"/>
      <c r="HZ64" s="287"/>
      <c r="IA64" s="287"/>
      <c r="IB64" s="287"/>
      <c r="IC64" s="287"/>
      <c r="ID64" s="287"/>
      <c r="IE64" s="287"/>
      <c r="IF64" s="287"/>
      <c r="IG64" s="287"/>
      <c r="IH64" s="287"/>
      <c r="II64" s="287"/>
      <c r="IJ64" s="287"/>
      <c r="IK64" s="287"/>
      <c r="IL64" s="287"/>
      <c r="IM64" s="287"/>
      <c r="IN64" s="287"/>
      <c r="IO64" s="287"/>
      <c r="IP64" s="287"/>
      <c r="IQ64" s="287"/>
      <c r="IR64" s="287"/>
      <c r="IS64" s="287"/>
      <c r="IT64" s="287"/>
      <c r="IU64" s="287"/>
    </row>
    <row r="65" s="40" customFormat="1" ht="24" customHeight="1" spans="1:255">
      <c r="A65" s="54">
        <v>60</v>
      </c>
      <c r="B65" s="63">
        <v>2676</v>
      </c>
      <c r="C65" s="63" t="s">
        <v>658</v>
      </c>
      <c r="D65" s="63" t="s">
        <v>76</v>
      </c>
      <c r="E65" s="63" t="s">
        <v>870</v>
      </c>
      <c r="F65" s="64"/>
      <c r="G65" s="67" t="s">
        <v>904</v>
      </c>
      <c r="H65" s="66" t="s">
        <v>177</v>
      </c>
      <c r="I65" s="113" t="str">
        <f t="shared" si="0"/>
        <v>Husni Handayany Pappunnai, S.Pd</v>
      </c>
      <c r="J65" s="129" t="s">
        <v>80</v>
      </c>
      <c r="K65" s="102" t="str">
        <f t="shared" si="13"/>
        <v>Perempuan</v>
      </c>
      <c r="L65" s="130" t="s">
        <v>905</v>
      </c>
      <c r="M65" s="131">
        <v>29707</v>
      </c>
      <c r="N65" s="132" t="str">
        <f ca="1" t="shared" si="2"/>
        <v>44 Tahun 6 Bulan </v>
      </c>
      <c r="O65" s="133" t="str">
        <f t="shared" si="10"/>
        <v>01 May 1981</v>
      </c>
      <c r="P65" s="63">
        <f ca="1" t="shared" si="7"/>
        <v>44</v>
      </c>
      <c r="Q65" s="63" t="str">
        <f ca="1" t="shared" si="8"/>
        <v>OKE</v>
      </c>
      <c r="R65" s="583" t="s">
        <v>906</v>
      </c>
      <c r="S65" s="64"/>
      <c r="T65" s="583" t="s">
        <v>907</v>
      </c>
      <c r="U65" s="65" t="s">
        <v>83</v>
      </c>
      <c r="V65" s="129" t="s">
        <v>290</v>
      </c>
      <c r="W65" s="63" t="s">
        <v>112</v>
      </c>
      <c r="X65" s="130" t="s">
        <v>908</v>
      </c>
      <c r="Y65" s="129">
        <v>1</v>
      </c>
      <c r="Z65" s="129"/>
      <c r="AA65" s="130"/>
      <c r="AB65" s="130" t="s">
        <v>276</v>
      </c>
      <c r="AC65" s="129">
        <v>77311</v>
      </c>
      <c r="AD65" s="130" t="s">
        <v>88</v>
      </c>
      <c r="AE65" s="130"/>
      <c r="AF65" s="583" t="s">
        <v>909</v>
      </c>
      <c r="AG65" s="130" t="s">
        <v>910</v>
      </c>
      <c r="AH65" s="64"/>
      <c r="AI65" s="64"/>
      <c r="AJ65" s="130" t="s">
        <v>911</v>
      </c>
      <c r="AK65" s="584" t="s">
        <v>879</v>
      </c>
      <c r="AL65" s="225" t="str">
        <f ca="1" t="shared" si="9"/>
        <v>17 Tahun 4 Bulan </v>
      </c>
      <c r="AM65" s="130" t="s">
        <v>880</v>
      </c>
      <c r="AN65" s="129" t="s">
        <v>93</v>
      </c>
      <c r="AO65" s="65" t="s">
        <v>912</v>
      </c>
      <c r="AP65" s="130" t="s">
        <v>95</v>
      </c>
      <c r="AQ65" s="130" t="s">
        <v>913</v>
      </c>
      <c r="AR65" s="130"/>
      <c r="AS65" s="130" t="s">
        <v>188</v>
      </c>
      <c r="AT65" s="130"/>
      <c r="AU65" s="130" t="s">
        <v>883</v>
      </c>
      <c r="AV65" s="130" t="s">
        <v>914</v>
      </c>
      <c r="AW65" s="129" t="s">
        <v>100</v>
      </c>
      <c r="AX65" s="65" t="s">
        <v>885</v>
      </c>
      <c r="AY65" s="130" t="s">
        <v>915</v>
      </c>
      <c r="AZ65" s="64"/>
      <c r="BA65" s="64"/>
      <c r="BB65" s="272" t="s">
        <v>346</v>
      </c>
      <c r="BC65" s="64" t="s">
        <v>916</v>
      </c>
      <c r="BD65" s="63"/>
      <c r="BE65" s="63">
        <v>24</v>
      </c>
      <c r="BF65" s="63">
        <v>24</v>
      </c>
      <c r="BG65" s="39" t="s">
        <v>917</v>
      </c>
      <c r="BH65" s="313" t="s">
        <v>526</v>
      </c>
      <c r="BI65" s="129" t="s">
        <v>131</v>
      </c>
      <c r="BJ65" s="356" t="s">
        <v>904</v>
      </c>
      <c r="BK65" s="130">
        <v>1122050471</v>
      </c>
      <c r="BL65" s="355"/>
      <c r="BM65" s="287"/>
      <c r="BN65" s="287"/>
      <c r="BO65" s="287"/>
      <c r="BP65" s="287"/>
      <c r="BQ65" s="287"/>
      <c r="BR65" s="287"/>
      <c r="BS65" s="287"/>
      <c r="BT65" s="287"/>
      <c r="BU65" s="287"/>
      <c r="BV65" s="287"/>
      <c r="BW65" s="287"/>
      <c r="BX65" s="287"/>
      <c r="BY65" s="287"/>
      <c r="BZ65" s="287"/>
      <c r="CA65" s="287"/>
      <c r="CB65" s="287"/>
      <c r="CC65" s="287"/>
      <c r="CD65" s="287"/>
      <c r="CE65" s="287"/>
      <c r="CF65" s="287"/>
      <c r="CG65" s="287"/>
      <c r="CH65" s="287"/>
      <c r="CI65" s="287"/>
      <c r="CJ65" s="287"/>
      <c r="CK65" s="287"/>
      <c r="CL65" s="287"/>
      <c r="CM65" s="287"/>
      <c r="CN65" s="287"/>
      <c r="CO65" s="287"/>
      <c r="CP65" s="287"/>
      <c r="CQ65" s="287"/>
      <c r="CR65" s="287"/>
      <c r="CS65" s="287"/>
      <c r="CT65" s="287"/>
      <c r="CU65" s="287"/>
      <c r="CV65" s="287"/>
      <c r="CW65" s="287"/>
      <c r="CX65" s="287"/>
      <c r="CY65" s="287"/>
      <c r="CZ65" s="287"/>
      <c r="DA65" s="287"/>
      <c r="DB65" s="287"/>
      <c r="DC65" s="287"/>
      <c r="DD65" s="287"/>
      <c r="DE65" s="287"/>
      <c r="DF65" s="287"/>
      <c r="DG65" s="287"/>
      <c r="DH65" s="287"/>
      <c r="DI65" s="287"/>
      <c r="DJ65" s="287"/>
      <c r="DK65" s="287"/>
      <c r="DL65" s="287"/>
      <c r="DM65" s="287"/>
      <c r="DN65" s="287"/>
      <c r="DO65" s="287"/>
      <c r="DP65" s="287"/>
      <c r="DQ65" s="287"/>
      <c r="DR65" s="287"/>
      <c r="DS65" s="287"/>
      <c r="DT65" s="287"/>
      <c r="DU65" s="287"/>
      <c r="DV65" s="287"/>
      <c r="DW65" s="287"/>
      <c r="DX65" s="287"/>
      <c r="DY65" s="287"/>
      <c r="DZ65" s="287"/>
      <c r="EA65" s="287"/>
      <c r="EB65" s="287"/>
      <c r="EC65" s="287"/>
      <c r="ED65" s="287"/>
      <c r="EE65" s="287"/>
      <c r="EF65" s="287"/>
      <c r="EG65" s="287"/>
      <c r="EH65" s="287"/>
      <c r="EI65" s="287"/>
      <c r="EJ65" s="287"/>
      <c r="EK65" s="287"/>
      <c r="EL65" s="287"/>
      <c r="EM65" s="287"/>
      <c r="EN65" s="287"/>
      <c r="EO65" s="287"/>
      <c r="EP65" s="287"/>
      <c r="EQ65" s="287"/>
      <c r="ER65" s="287"/>
      <c r="ES65" s="287"/>
      <c r="ET65" s="287"/>
      <c r="EU65" s="287"/>
      <c r="EV65" s="287"/>
      <c r="EW65" s="287"/>
      <c r="EX65" s="287"/>
      <c r="EY65" s="287"/>
      <c r="EZ65" s="287"/>
      <c r="FA65" s="287"/>
      <c r="FB65" s="287"/>
      <c r="FC65" s="287"/>
      <c r="FD65" s="287"/>
      <c r="FE65" s="287"/>
      <c r="FF65" s="287"/>
      <c r="FG65" s="287"/>
      <c r="FH65" s="287"/>
      <c r="FI65" s="287"/>
      <c r="FJ65" s="287"/>
      <c r="FK65" s="287"/>
      <c r="FL65" s="287"/>
      <c r="FM65" s="287"/>
      <c r="FN65" s="287"/>
      <c r="FO65" s="287"/>
      <c r="FP65" s="287"/>
      <c r="FQ65" s="287"/>
      <c r="FR65" s="287"/>
      <c r="FS65" s="287"/>
      <c r="FT65" s="287"/>
      <c r="FU65" s="287"/>
      <c r="FV65" s="287"/>
      <c r="FW65" s="287"/>
      <c r="FX65" s="287"/>
      <c r="FY65" s="287"/>
      <c r="FZ65" s="287"/>
      <c r="GA65" s="287"/>
      <c r="GB65" s="287"/>
      <c r="GC65" s="287"/>
      <c r="GD65" s="287"/>
      <c r="GE65" s="287"/>
      <c r="GF65" s="287"/>
      <c r="GG65" s="287"/>
      <c r="GH65" s="287"/>
      <c r="GI65" s="287"/>
      <c r="GJ65" s="287"/>
      <c r="GK65" s="287"/>
      <c r="GL65" s="287"/>
      <c r="GM65" s="287"/>
      <c r="GN65" s="287"/>
      <c r="GO65" s="287"/>
      <c r="GP65" s="287"/>
      <c r="GQ65" s="287"/>
      <c r="GR65" s="287"/>
      <c r="GS65" s="287"/>
      <c r="GT65" s="287"/>
      <c r="GU65" s="287"/>
      <c r="GV65" s="287"/>
      <c r="GW65" s="287"/>
      <c r="GX65" s="287"/>
      <c r="GY65" s="287"/>
      <c r="GZ65" s="287"/>
      <c r="HA65" s="287"/>
      <c r="HB65" s="287"/>
      <c r="HC65" s="287"/>
      <c r="HD65" s="287"/>
      <c r="HE65" s="287"/>
      <c r="HF65" s="287"/>
      <c r="HG65" s="287"/>
      <c r="HH65" s="287"/>
      <c r="HI65" s="287"/>
      <c r="HJ65" s="287"/>
      <c r="HK65" s="287"/>
      <c r="HL65" s="287"/>
      <c r="HM65" s="287"/>
      <c r="HN65" s="287"/>
      <c r="HO65" s="287"/>
      <c r="HP65" s="287"/>
      <c r="HQ65" s="287"/>
      <c r="HR65" s="287"/>
      <c r="HS65" s="287"/>
      <c r="HT65" s="287"/>
      <c r="HU65" s="287"/>
      <c r="HV65" s="287"/>
      <c r="HW65" s="287"/>
      <c r="HX65" s="287"/>
      <c r="HY65" s="287"/>
      <c r="HZ65" s="287"/>
      <c r="IA65" s="287"/>
      <c r="IB65" s="287"/>
      <c r="IC65" s="287"/>
      <c r="ID65" s="287"/>
      <c r="IE65" s="287"/>
      <c r="IF65" s="287"/>
      <c r="IG65" s="287"/>
      <c r="IH65" s="287"/>
      <c r="II65" s="287"/>
      <c r="IJ65" s="287"/>
      <c r="IK65" s="287"/>
      <c r="IL65" s="287"/>
      <c r="IM65" s="287"/>
      <c r="IN65" s="287"/>
      <c r="IO65" s="287"/>
      <c r="IP65" s="287"/>
      <c r="IQ65" s="287"/>
      <c r="IR65" s="287"/>
      <c r="IS65" s="287"/>
      <c r="IT65" s="287"/>
      <c r="IU65" s="287"/>
    </row>
    <row r="66" s="40" customFormat="1" ht="24" customHeight="1" spans="1:255">
      <c r="A66" s="54">
        <v>61</v>
      </c>
      <c r="B66" s="63">
        <v>2677</v>
      </c>
      <c r="C66" s="63" t="s">
        <v>658</v>
      </c>
      <c r="D66" s="63" t="s">
        <v>76</v>
      </c>
      <c r="E66" s="63" t="s">
        <v>870</v>
      </c>
      <c r="F66" s="64"/>
      <c r="G66" s="67" t="s">
        <v>918</v>
      </c>
      <c r="H66" s="66" t="s">
        <v>177</v>
      </c>
      <c r="I66" s="113" t="str">
        <f t="shared" si="0"/>
        <v>Bermawati, S.Pd</v>
      </c>
      <c r="J66" s="129" t="s">
        <v>80</v>
      </c>
      <c r="K66" s="102" t="str">
        <f t="shared" si="13"/>
        <v>Perempuan</v>
      </c>
      <c r="L66" s="130" t="s">
        <v>919</v>
      </c>
      <c r="M66" s="131">
        <v>26308</v>
      </c>
      <c r="N66" s="132" t="str">
        <f ca="1" t="shared" si="2"/>
        <v>53 Tahun 9 Bulan </v>
      </c>
      <c r="O66" s="133" t="str">
        <f t="shared" si="10"/>
        <v>10 January 1972</v>
      </c>
      <c r="P66" s="63">
        <f ca="1" t="shared" si="7"/>
        <v>53</v>
      </c>
      <c r="Q66" s="63" t="str">
        <f ca="1" t="shared" si="8"/>
        <v>OKE</v>
      </c>
      <c r="R66" s="583" t="s">
        <v>920</v>
      </c>
      <c r="S66" s="64"/>
      <c r="T66" s="583" t="s">
        <v>921</v>
      </c>
      <c r="U66" s="65" t="s">
        <v>83</v>
      </c>
      <c r="V66" s="129" t="s">
        <v>290</v>
      </c>
      <c r="W66" s="63" t="s">
        <v>112</v>
      </c>
      <c r="X66" s="130" t="s">
        <v>922</v>
      </c>
      <c r="Y66" s="129">
        <v>7</v>
      </c>
      <c r="Z66" s="129"/>
      <c r="AA66" s="130"/>
      <c r="AB66" s="130" t="s">
        <v>88</v>
      </c>
      <c r="AC66" s="129">
        <v>77311</v>
      </c>
      <c r="AD66" s="130" t="s">
        <v>88</v>
      </c>
      <c r="AE66" s="130"/>
      <c r="AF66" s="583" t="s">
        <v>923</v>
      </c>
      <c r="AG66" s="130" t="s">
        <v>924</v>
      </c>
      <c r="AH66" s="64"/>
      <c r="AI66" s="64"/>
      <c r="AJ66" s="130" t="s">
        <v>925</v>
      </c>
      <c r="AK66" s="584" t="s">
        <v>879</v>
      </c>
      <c r="AL66" s="225" t="str">
        <f ca="1" t="shared" si="9"/>
        <v>17 Tahun 4 Bulan </v>
      </c>
      <c r="AM66" s="130" t="s">
        <v>880</v>
      </c>
      <c r="AN66" s="129" t="s">
        <v>93</v>
      </c>
      <c r="AO66" s="65" t="s">
        <v>926</v>
      </c>
      <c r="AP66" s="130" t="s">
        <v>95</v>
      </c>
      <c r="AQ66" s="130" t="s">
        <v>927</v>
      </c>
      <c r="AR66" s="130"/>
      <c r="AS66" s="130" t="s">
        <v>188</v>
      </c>
      <c r="AT66" s="130"/>
      <c r="AU66" s="130" t="s">
        <v>883</v>
      </c>
      <c r="AV66" s="130" t="s">
        <v>928</v>
      </c>
      <c r="AW66" s="129" t="s">
        <v>100</v>
      </c>
      <c r="AX66" s="65" t="s">
        <v>885</v>
      </c>
      <c r="AY66" s="64" t="s">
        <v>929</v>
      </c>
      <c r="AZ66" s="129">
        <v>210</v>
      </c>
      <c r="BA66" s="130" t="s">
        <v>563</v>
      </c>
      <c r="BB66" s="272" t="s">
        <v>346</v>
      </c>
      <c r="BC66" s="64" t="s">
        <v>930</v>
      </c>
      <c r="BD66" s="63"/>
      <c r="BE66" s="63">
        <v>28</v>
      </c>
      <c r="BF66" s="63">
        <v>28</v>
      </c>
      <c r="BG66" s="422" t="s">
        <v>917</v>
      </c>
      <c r="BH66" s="313" t="s">
        <v>526</v>
      </c>
      <c r="BI66" s="129" t="s">
        <v>131</v>
      </c>
      <c r="BJ66" s="356" t="s">
        <v>918</v>
      </c>
      <c r="BK66" s="130">
        <v>1122050480</v>
      </c>
      <c r="BL66" s="355"/>
      <c r="BM66" s="287"/>
      <c r="BN66" s="287"/>
      <c r="BO66" s="287"/>
      <c r="BP66" s="287"/>
      <c r="BQ66" s="287"/>
      <c r="BR66" s="287"/>
      <c r="BS66" s="287"/>
      <c r="BT66" s="287"/>
      <c r="BU66" s="287"/>
      <c r="BV66" s="287"/>
      <c r="BW66" s="287"/>
      <c r="BX66" s="287"/>
      <c r="BY66" s="287"/>
      <c r="BZ66" s="287"/>
      <c r="CA66" s="287"/>
      <c r="CB66" s="287"/>
      <c r="CC66" s="287"/>
      <c r="CD66" s="287"/>
      <c r="CE66" s="287"/>
      <c r="CF66" s="287"/>
      <c r="CG66" s="287"/>
      <c r="CH66" s="287"/>
      <c r="CI66" s="287"/>
      <c r="CJ66" s="287"/>
      <c r="CK66" s="287"/>
      <c r="CL66" s="287"/>
      <c r="CM66" s="287"/>
      <c r="CN66" s="287"/>
      <c r="CO66" s="287"/>
      <c r="CP66" s="287"/>
      <c r="CQ66" s="287"/>
      <c r="CR66" s="287"/>
      <c r="CS66" s="287"/>
      <c r="CT66" s="287"/>
      <c r="CU66" s="287"/>
      <c r="CV66" s="287"/>
      <c r="CW66" s="287"/>
      <c r="CX66" s="287"/>
      <c r="CY66" s="287"/>
      <c r="CZ66" s="287"/>
      <c r="DA66" s="287"/>
      <c r="DB66" s="287"/>
      <c r="DC66" s="287"/>
      <c r="DD66" s="287"/>
      <c r="DE66" s="287"/>
      <c r="DF66" s="287"/>
      <c r="DG66" s="287"/>
      <c r="DH66" s="287"/>
      <c r="DI66" s="287"/>
      <c r="DJ66" s="287"/>
      <c r="DK66" s="287"/>
      <c r="DL66" s="287"/>
      <c r="DM66" s="287"/>
      <c r="DN66" s="287"/>
      <c r="DO66" s="287"/>
      <c r="DP66" s="287"/>
      <c r="DQ66" s="287"/>
      <c r="DR66" s="287"/>
      <c r="DS66" s="287"/>
      <c r="DT66" s="287"/>
      <c r="DU66" s="287"/>
      <c r="DV66" s="287"/>
      <c r="DW66" s="287"/>
      <c r="DX66" s="287"/>
      <c r="DY66" s="287"/>
      <c r="DZ66" s="287"/>
      <c r="EA66" s="287"/>
      <c r="EB66" s="287"/>
      <c r="EC66" s="287"/>
      <c r="ED66" s="287"/>
      <c r="EE66" s="287"/>
      <c r="EF66" s="287"/>
      <c r="EG66" s="287"/>
      <c r="EH66" s="287"/>
      <c r="EI66" s="287"/>
      <c r="EJ66" s="287"/>
      <c r="EK66" s="287"/>
      <c r="EL66" s="287"/>
      <c r="EM66" s="287"/>
      <c r="EN66" s="287"/>
      <c r="EO66" s="287"/>
      <c r="EP66" s="287"/>
      <c r="EQ66" s="287"/>
      <c r="ER66" s="287"/>
      <c r="ES66" s="287"/>
      <c r="ET66" s="287"/>
      <c r="EU66" s="287"/>
      <c r="EV66" s="287"/>
      <c r="EW66" s="287"/>
      <c r="EX66" s="287"/>
      <c r="EY66" s="287"/>
      <c r="EZ66" s="287"/>
      <c r="FA66" s="287"/>
      <c r="FB66" s="287"/>
      <c r="FC66" s="287"/>
      <c r="FD66" s="287"/>
      <c r="FE66" s="287"/>
      <c r="FF66" s="287"/>
      <c r="FG66" s="287"/>
      <c r="FH66" s="287"/>
      <c r="FI66" s="287"/>
      <c r="FJ66" s="287"/>
      <c r="FK66" s="287"/>
      <c r="FL66" s="287"/>
      <c r="FM66" s="287"/>
      <c r="FN66" s="287"/>
      <c r="FO66" s="287"/>
      <c r="FP66" s="287"/>
      <c r="FQ66" s="287"/>
      <c r="FR66" s="287"/>
      <c r="FS66" s="287"/>
      <c r="FT66" s="287"/>
      <c r="FU66" s="287"/>
      <c r="FV66" s="287"/>
      <c r="FW66" s="287"/>
      <c r="FX66" s="287"/>
      <c r="FY66" s="287"/>
      <c r="FZ66" s="287"/>
      <c r="GA66" s="287"/>
      <c r="GB66" s="287"/>
      <c r="GC66" s="287"/>
      <c r="GD66" s="287"/>
      <c r="GE66" s="287"/>
      <c r="GF66" s="287"/>
      <c r="GG66" s="287"/>
      <c r="GH66" s="287"/>
      <c r="GI66" s="287"/>
      <c r="GJ66" s="287"/>
      <c r="GK66" s="287"/>
      <c r="GL66" s="287"/>
      <c r="GM66" s="287"/>
      <c r="GN66" s="287"/>
      <c r="GO66" s="287"/>
      <c r="GP66" s="287"/>
      <c r="GQ66" s="287"/>
      <c r="GR66" s="287"/>
      <c r="GS66" s="287"/>
      <c r="GT66" s="287"/>
      <c r="GU66" s="287"/>
      <c r="GV66" s="287"/>
      <c r="GW66" s="287"/>
      <c r="GX66" s="287"/>
      <c r="GY66" s="287"/>
      <c r="GZ66" s="287"/>
      <c r="HA66" s="287"/>
      <c r="HB66" s="287"/>
      <c r="HC66" s="287"/>
      <c r="HD66" s="287"/>
      <c r="HE66" s="287"/>
      <c r="HF66" s="287"/>
      <c r="HG66" s="287"/>
      <c r="HH66" s="287"/>
      <c r="HI66" s="287"/>
      <c r="HJ66" s="287"/>
      <c r="HK66" s="287"/>
      <c r="HL66" s="287"/>
      <c r="HM66" s="287"/>
      <c r="HN66" s="287"/>
      <c r="HO66" s="287"/>
      <c r="HP66" s="287"/>
      <c r="HQ66" s="287"/>
      <c r="HR66" s="287"/>
      <c r="HS66" s="287"/>
      <c r="HT66" s="287"/>
      <c r="HU66" s="287"/>
      <c r="HV66" s="287"/>
      <c r="HW66" s="287"/>
      <c r="HX66" s="287"/>
      <c r="HY66" s="287"/>
      <c r="HZ66" s="287"/>
      <c r="IA66" s="287"/>
      <c r="IB66" s="287"/>
      <c r="IC66" s="287"/>
      <c r="ID66" s="287"/>
      <c r="IE66" s="287"/>
      <c r="IF66" s="287"/>
      <c r="IG66" s="287"/>
      <c r="IH66" s="287"/>
      <c r="II66" s="287"/>
      <c r="IJ66" s="287"/>
      <c r="IK66" s="287"/>
      <c r="IL66" s="287"/>
      <c r="IM66" s="287"/>
      <c r="IN66" s="287"/>
      <c r="IO66" s="287"/>
      <c r="IP66" s="287"/>
      <c r="IQ66" s="287"/>
      <c r="IR66" s="287"/>
      <c r="IS66" s="287"/>
      <c r="IT66" s="287"/>
      <c r="IU66" s="287"/>
    </row>
    <row r="67" s="40" customFormat="1" ht="24" customHeight="1" spans="1:255">
      <c r="A67" s="54">
        <v>62</v>
      </c>
      <c r="B67" s="63">
        <v>2979</v>
      </c>
      <c r="C67" s="63" t="s">
        <v>658</v>
      </c>
      <c r="D67" s="63" t="s">
        <v>76</v>
      </c>
      <c r="E67" s="63" t="s">
        <v>870</v>
      </c>
      <c r="F67" s="64"/>
      <c r="G67" s="65" t="s">
        <v>931</v>
      </c>
      <c r="H67" s="66" t="s">
        <v>872</v>
      </c>
      <c r="I67" s="113" t="str">
        <f t="shared" si="0"/>
        <v>Mohammad Fauzi, S.PdI</v>
      </c>
      <c r="J67" s="129" t="s">
        <v>127</v>
      </c>
      <c r="K67" s="102" t="str">
        <f t="shared" si="13"/>
        <v>Laki-laki</v>
      </c>
      <c r="L67" s="130" t="s">
        <v>460</v>
      </c>
      <c r="M67" s="131">
        <v>29535</v>
      </c>
      <c r="N67" s="132" t="str">
        <f ca="1" t="shared" si="2"/>
        <v>44 Tahun 11 Bulan </v>
      </c>
      <c r="O67" s="133" t="str">
        <f t="shared" si="10"/>
        <v>10 November 1980</v>
      </c>
      <c r="P67" s="63">
        <f ca="1" t="shared" si="7"/>
        <v>44</v>
      </c>
      <c r="Q67" s="63" t="str">
        <f ca="1" t="shared" si="8"/>
        <v>OKE</v>
      </c>
      <c r="R67" s="583" t="s">
        <v>932</v>
      </c>
      <c r="S67" s="64"/>
      <c r="T67" s="583" t="s">
        <v>933</v>
      </c>
      <c r="U67" s="65" t="s">
        <v>83</v>
      </c>
      <c r="V67" s="129" t="s">
        <v>290</v>
      </c>
      <c r="W67" s="63" t="s">
        <v>112</v>
      </c>
      <c r="X67" s="130" t="s">
        <v>934</v>
      </c>
      <c r="Y67" s="129">
        <v>9</v>
      </c>
      <c r="Z67" s="129"/>
      <c r="AA67" s="130"/>
      <c r="AB67" s="130" t="s">
        <v>935</v>
      </c>
      <c r="AC67" s="129">
        <v>77353</v>
      </c>
      <c r="AD67" s="130" t="s">
        <v>131</v>
      </c>
      <c r="AE67" s="130"/>
      <c r="AF67" s="583" t="s">
        <v>936</v>
      </c>
      <c r="AG67" s="130" t="s">
        <v>937</v>
      </c>
      <c r="AH67" s="64"/>
      <c r="AI67" s="64"/>
      <c r="AJ67" s="130" t="s">
        <v>938</v>
      </c>
      <c r="AK67" s="584" t="s">
        <v>879</v>
      </c>
      <c r="AL67" s="225" t="str">
        <f ca="1" t="shared" si="9"/>
        <v>17 Tahun 4 Bulan </v>
      </c>
      <c r="AM67" s="130" t="s">
        <v>880</v>
      </c>
      <c r="AN67" s="129" t="s">
        <v>93</v>
      </c>
      <c r="AO67" s="65" t="s">
        <v>939</v>
      </c>
      <c r="AP67" s="130" t="s">
        <v>95</v>
      </c>
      <c r="AQ67" s="130" t="s">
        <v>940</v>
      </c>
      <c r="AR67" s="130"/>
      <c r="AS67" s="130" t="s">
        <v>941</v>
      </c>
      <c r="AT67" s="130"/>
      <c r="AU67" s="130" t="s">
        <v>883</v>
      </c>
      <c r="AV67" s="130" t="s">
        <v>942</v>
      </c>
      <c r="AW67" s="129" t="s">
        <v>100</v>
      </c>
      <c r="AX67" s="65" t="s">
        <v>885</v>
      </c>
      <c r="AY67" s="130" t="s">
        <v>943</v>
      </c>
      <c r="AZ67" s="64"/>
      <c r="BA67" s="64"/>
      <c r="BB67" s="272" t="s">
        <v>346</v>
      </c>
      <c r="BC67" s="64" t="s">
        <v>944</v>
      </c>
      <c r="BD67" s="63"/>
      <c r="BE67" s="63">
        <v>28</v>
      </c>
      <c r="BF67" s="63">
        <v>28</v>
      </c>
      <c r="BG67" s="39" t="s">
        <v>606</v>
      </c>
      <c r="BH67" s="313" t="s">
        <v>526</v>
      </c>
      <c r="BI67" s="129" t="s">
        <v>131</v>
      </c>
      <c r="BJ67" s="423" t="s">
        <v>931</v>
      </c>
      <c r="BK67" s="130">
        <v>1122050501</v>
      </c>
      <c r="BL67" s="355"/>
      <c r="BM67" s="287"/>
      <c r="BN67" s="287"/>
      <c r="BO67" s="287"/>
      <c r="BP67" s="287"/>
      <c r="BQ67" s="287"/>
      <c r="BR67" s="287"/>
      <c r="BS67" s="287"/>
      <c r="BT67" s="287"/>
      <c r="BU67" s="287"/>
      <c r="BV67" s="287"/>
      <c r="BW67" s="287"/>
      <c r="BX67" s="287"/>
      <c r="BY67" s="287"/>
      <c r="BZ67" s="287"/>
      <c r="CA67" s="287"/>
      <c r="CB67" s="287"/>
      <c r="CC67" s="287"/>
      <c r="CD67" s="287"/>
      <c r="CE67" s="287"/>
      <c r="CF67" s="287"/>
      <c r="CG67" s="287"/>
      <c r="CH67" s="287"/>
      <c r="CI67" s="287"/>
      <c r="CJ67" s="287"/>
      <c r="CK67" s="287"/>
      <c r="CL67" s="287"/>
      <c r="CM67" s="287"/>
      <c r="CN67" s="287"/>
      <c r="CO67" s="287"/>
      <c r="CP67" s="287"/>
      <c r="CQ67" s="287"/>
      <c r="CR67" s="287"/>
      <c r="CS67" s="287"/>
      <c r="CT67" s="287"/>
      <c r="CU67" s="287"/>
      <c r="CV67" s="287"/>
      <c r="CW67" s="287"/>
      <c r="CX67" s="287"/>
      <c r="CY67" s="287"/>
      <c r="CZ67" s="287"/>
      <c r="DA67" s="287"/>
      <c r="DB67" s="287"/>
      <c r="DC67" s="287"/>
      <c r="DD67" s="287"/>
      <c r="DE67" s="287"/>
      <c r="DF67" s="287"/>
      <c r="DG67" s="287"/>
      <c r="DH67" s="287"/>
      <c r="DI67" s="287"/>
      <c r="DJ67" s="287"/>
      <c r="DK67" s="287"/>
      <c r="DL67" s="287"/>
      <c r="DM67" s="287"/>
      <c r="DN67" s="287"/>
      <c r="DO67" s="287"/>
      <c r="DP67" s="287"/>
      <c r="DQ67" s="287"/>
      <c r="DR67" s="287"/>
      <c r="DS67" s="287"/>
      <c r="DT67" s="287"/>
      <c r="DU67" s="287"/>
      <c r="DV67" s="287"/>
      <c r="DW67" s="287"/>
      <c r="DX67" s="287"/>
      <c r="DY67" s="287"/>
      <c r="DZ67" s="287"/>
      <c r="EA67" s="287"/>
      <c r="EB67" s="287"/>
      <c r="EC67" s="287"/>
      <c r="ED67" s="287"/>
      <c r="EE67" s="287"/>
      <c r="EF67" s="287"/>
      <c r="EG67" s="287"/>
      <c r="EH67" s="287"/>
      <c r="EI67" s="287"/>
      <c r="EJ67" s="287"/>
      <c r="EK67" s="287"/>
      <c r="EL67" s="287"/>
      <c r="EM67" s="287"/>
      <c r="EN67" s="287"/>
      <c r="EO67" s="287"/>
      <c r="EP67" s="287"/>
      <c r="EQ67" s="287"/>
      <c r="ER67" s="287"/>
      <c r="ES67" s="287"/>
      <c r="ET67" s="287"/>
      <c r="EU67" s="287"/>
      <c r="EV67" s="287"/>
      <c r="EW67" s="287"/>
      <c r="EX67" s="287"/>
      <c r="EY67" s="287"/>
      <c r="EZ67" s="287"/>
      <c r="FA67" s="287"/>
      <c r="FB67" s="287"/>
      <c r="FC67" s="287"/>
      <c r="FD67" s="287"/>
      <c r="FE67" s="287"/>
      <c r="FF67" s="287"/>
      <c r="FG67" s="287"/>
      <c r="FH67" s="287"/>
      <c r="FI67" s="287"/>
      <c r="FJ67" s="287"/>
      <c r="FK67" s="287"/>
      <c r="FL67" s="287"/>
      <c r="FM67" s="287"/>
      <c r="FN67" s="287"/>
      <c r="FO67" s="287"/>
      <c r="FP67" s="287"/>
      <c r="FQ67" s="287"/>
      <c r="FR67" s="287"/>
      <c r="FS67" s="287"/>
      <c r="FT67" s="287"/>
      <c r="FU67" s="287"/>
      <c r="FV67" s="287"/>
      <c r="FW67" s="287"/>
      <c r="FX67" s="287"/>
      <c r="FY67" s="287"/>
      <c r="FZ67" s="287"/>
      <c r="GA67" s="287"/>
      <c r="GB67" s="287"/>
      <c r="GC67" s="287"/>
      <c r="GD67" s="287"/>
      <c r="GE67" s="287"/>
      <c r="GF67" s="287"/>
      <c r="GG67" s="287"/>
      <c r="GH67" s="287"/>
      <c r="GI67" s="287"/>
      <c r="GJ67" s="287"/>
      <c r="GK67" s="287"/>
      <c r="GL67" s="287"/>
      <c r="GM67" s="287"/>
      <c r="GN67" s="287"/>
      <c r="GO67" s="287"/>
      <c r="GP67" s="287"/>
      <c r="GQ67" s="287"/>
      <c r="GR67" s="287"/>
      <c r="GS67" s="287"/>
      <c r="GT67" s="287"/>
      <c r="GU67" s="287"/>
      <c r="GV67" s="287"/>
      <c r="GW67" s="287"/>
      <c r="GX67" s="287"/>
      <c r="GY67" s="287"/>
      <c r="GZ67" s="287"/>
      <c r="HA67" s="287"/>
      <c r="HB67" s="287"/>
      <c r="HC67" s="287"/>
      <c r="HD67" s="287"/>
      <c r="HE67" s="287"/>
      <c r="HF67" s="287"/>
      <c r="HG67" s="287"/>
      <c r="HH67" s="287"/>
      <c r="HI67" s="287"/>
      <c r="HJ67" s="287"/>
      <c r="HK67" s="287"/>
      <c r="HL67" s="287"/>
      <c r="HM67" s="287"/>
      <c r="HN67" s="287"/>
      <c r="HO67" s="287"/>
      <c r="HP67" s="287"/>
      <c r="HQ67" s="287"/>
      <c r="HR67" s="287"/>
      <c r="HS67" s="287"/>
      <c r="HT67" s="287"/>
      <c r="HU67" s="287"/>
      <c r="HV67" s="287"/>
      <c r="HW67" s="287"/>
      <c r="HX67" s="287"/>
      <c r="HY67" s="287"/>
      <c r="HZ67" s="287"/>
      <c r="IA67" s="287"/>
      <c r="IB67" s="287"/>
      <c r="IC67" s="287"/>
      <c r="ID67" s="287"/>
      <c r="IE67" s="287"/>
      <c r="IF67" s="287"/>
      <c r="IG67" s="287"/>
      <c r="IH67" s="287"/>
      <c r="II67" s="287"/>
      <c r="IJ67" s="287"/>
      <c r="IK67" s="287"/>
      <c r="IL67" s="287"/>
      <c r="IM67" s="287"/>
      <c r="IN67" s="287"/>
      <c r="IO67" s="287"/>
      <c r="IP67" s="287"/>
      <c r="IQ67" s="287"/>
      <c r="IR67" s="287"/>
      <c r="IS67" s="287"/>
      <c r="IT67" s="287"/>
      <c r="IU67" s="287"/>
    </row>
    <row r="68" s="40" customFormat="1" ht="24" customHeight="1" spans="1:255">
      <c r="A68" s="54">
        <v>63</v>
      </c>
      <c r="B68" s="63">
        <v>2680</v>
      </c>
      <c r="C68" s="63" t="s">
        <v>658</v>
      </c>
      <c r="D68" s="63" t="s">
        <v>76</v>
      </c>
      <c r="E68" s="63" t="s">
        <v>870</v>
      </c>
      <c r="F68" s="64"/>
      <c r="G68" s="65" t="s">
        <v>945</v>
      </c>
      <c r="H68" s="66" t="s">
        <v>177</v>
      </c>
      <c r="I68" s="113" t="str">
        <f t="shared" si="0"/>
        <v>Sri Wulandari, S.Pd</v>
      </c>
      <c r="J68" s="129" t="s">
        <v>80</v>
      </c>
      <c r="K68" s="102" t="str">
        <f t="shared" si="13"/>
        <v>Perempuan</v>
      </c>
      <c r="L68" s="130" t="s">
        <v>946</v>
      </c>
      <c r="M68" s="131">
        <v>32180</v>
      </c>
      <c r="N68" s="132" t="str">
        <f ca="1" t="shared" si="2"/>
        <v>37 Tahun 8 Bulan </v>
      </c>
      <c r="O68" s="133" t="str">
        <f t="shared" si="10"/>
        <v>07 February 1988</v>
      </c>
      <c r="P68" s="63">
        <f ca="1" t="shared" si="7"/>
        <v>37</v>
      </c>
      <c r="Q68" s="63" t="str">
        <f ca="1" t="shared" si="8"/>
        <v>OKE</v>
      </c>
      <c r="R68" s="583" t="s">
        <v>947</v>
      </c>
      <c r="S68" s="64"/>
      <c r="T68" s="583" t="s">
        <v>156</v>
      </c>
      <c r="U68" s="65" t="s">
        <v>83</v>
      </c>
      <c r="V68" s="129" t="s">
        <v>290</v>
      </c>
      <c r="W68" s="63" t="s">
        <v>112</v>
      </c>
      <c r="X68" s="130" t="s">
        <v>948</v>
      </c>
      <c r="Y68" s="129">
        <v>13</v>
      </c>
      <c r="Z68" s="129"/>
      <c r="AA68" s="130"/>
      <c r="AB68" s="130" t="s">
        <v>893</v>
      </c>
      <c r="AC68" s="129">
        <v>77353</v>
      </c>
      <c r="AD68" s="130" t="s">
        <v>131</v>
      </c>
      <c r="AE68" s="130"/>
      <c r="AF68" s="583" t="s">
        <v>949</v>
      </c>
      <c r="AG68" s="65" t="s">
        <v>950</v>
      </c>
      <c r="AH68" s="64"/>
      <c r="AI68" s="64"/>
      <c r="AJ68" s="130" t="s">
        <v>951</v>
      </c>
      <c r="AK68" s="584" t="s">
        <v>952</v>
      </c>
      <c r="AL68" s="225" t="str">
        <f ca="1" t="shared" si="9"/>
        <v>11 Tahun 4 Bulan </v>
      </c>
      <c r="AM68" s="130" t="s">
        <v>880</v>
      </c>
      <c r="AN68" s="129" t="s">
        <v>93</v>
      </c>
      <c r="AO68" s="65" t="s">
        <v>953</v>
      </c>
      <c r="AP68" s="130" t="s">
        <v>95</v>
      </c>
      <c r="AQ68" s="130" t="s">
        <v>954</v>
      </c>
      <c r="AR68" s="583" t="s">
        <v>955</v>
      </c>
      <c r="AS68" s="130" t="s">
        <v>900</v>
      </c>
      <c r="AT68" s="130"/>
      <c r="AU68" s="130" t="s">
        <v>883</v>
      </c>
      <c r="AV68" s="130" t="s">
        <v>956</v>
      </c>
      <c r="AW68" s="129" t="s">
        <v>100</v>
      </c>
      <c r="AX68" s="65" t="s">
        <v>101</v>
      </c>
      <c r="AY68" s="130" t="s">
        <v>957</v>
      </c>
      <c r="AZ68" s="64"/>
      <c r="BA68" s="64"/>
      <c r="BB68" s="272" t="s">
        <v>346</v>
      </c>
      <c r="BC68" s="64" t="s">
        <v>958</v>
      </c>
      <c r="BD68" s="63"/>
      <c r="BE68" s="63">
        <v>33</v>
      </c>
      <c r="BF68" s="63">
        <v>33</v>
      </c>
      <c r="BG68" s="39" t="s">
        <v>589</v>
      </c>
      <c r="BH68" s="313" t="s">
        <v>526</v>
      </c>
      <c r="BI68" s="129" t="s">
        <v>131</v>
      </c>
      <c r="BJ68" s="272" t="s">
        <v>945</v>
      </c>
      <c r="BK68" s="130">
        <v>1122050510</v>
      </c>
      <c r="BL68" s="355"/>
      <c r="BM68" s="287"/>
      <c r="BN68" s="287"/>
      <c r="BO68" s="287"/>
      <c r="BP68" s="287"/>
      <c r="BQ68" s="287"/>
      <c r="BR68" s="287"/>
      <c r="BS68" s="287"/>
      <c r="BT68" s="287"/>
      <c r="BU68" s="287"/>
      <c r="BV68" s="287"/>
      <c r="BW68" s="287"/>
      <c r="BX68" s="287"/>
      <c r="BY68" s="287"/>
      <c r="BZ68" s="287"/>
      <c r="CA68" s="287"/>
      <c r="CB68" s="287"/>
      <c r="CC68" s="287"/>
      <c r="CD68" s="287"/>
      <c r="CE68" s="287"/>
      <c r="CF68" s="287"/>
      <c r="CG68" s="287"/>
      <c r="CH68" s="287"/>
      <c r="CI68" s="287"/>
      <c r="CJ68" s="287"/>
      <c r="CK68" s="287"/>
      <c r="CL68" s="287"/>
      <c r="CM68" s="287"/>
      <c r="CN68" s="287"/>
      <c r="CO68" s="287"/>
      <c r="CP68" s="287"/>
      <c r="CQ68" s="287"/>
      <c r="CR68" s="287"/>
      <c r="CS68" s="287"/>
      <c r="CT68" s="287"/>
      <c r="CU68" s="287"/>
      <c r="CV68" s="287"/>
      <c r="CW68" s="287"/>
      <c r="CX68" s="287"/>
      <c r="CY68" s="287"/>
      <c r="CZ68" s="287"/>
      <c r="DA68" s="287"/>
      <c r="DB68" s="287"/>
      <c r="DC68" s="287"/>
      <c r="DD68" s="287"/>
      <c r="DE68" s="287"/>
      <c r="DF68" s="287"/>
      <c r="DG68" s="287"/>
      <c r="DH68" s="287"/>
      <c r="DI68" s="287"/>
      <c r="DJ68" s="287"/>
      <c r="DK68" s="287"/>
      <c r="DL68" s="287"/>
      <c r="DM68" s="287"/>
      <c r="DN68" s="287"/>
      <c r="DO68" s="287"/>
      <c r="DP68" s="287"/>
      <c r="DQ68" s="287"/>
      <c r="DR68" s="287"/>
      <c r="DS68" s="287"/>
      <c r="DT68" s="287"/>
      <c r="DU68" s="287"/>
      <c r="DV68" s="287"/>
      <c r="DW68" s="287"/>
      <c r="DX68" s="287"/>
      <c r="DY68" s="287"/>
      <c r="DZ68" s="287"/>
      <c r="EA68" s="287"/>
      <c r="EB68" s="287"/>
      <c r="EC68" s="287"/>
      <c r="ED68" s="287"/>
      <c r="EE68" s="287"/>
      <c r="EF68" s="287"/>
      <c r="EG68" s="287"/>
      <c r="EH68" s="287"/>
      <c r="EI68" s="287"/>
      <c r="EJ68" s="287"/>
      <c r="EK68" s="287"/>
      <c r="EL68" s="287"/>
      <c r="EM68" s="287"/>
      <c r="EN68" s="287"/>
      <c r="EO68" s="287"/>
      <c r="EP68" s="287"/>
      <c r="EQ68" s="287"/>
      <c r="ER68" s="287"/>
      <c r="ES68" s="287"/>
      <c r="ET68" s="287"/>
      <c r="EU68" s="287"/>
      <c r="EV68" s="287"/>
      <c r="EW68" s="287"/>
      <c r="EX68" s="287"/>
      <c r="EY68" s="287"/>
      <c r="EZ68" s="287"/>
      <c r="FA68" s="287"/>
      <c r="FB68" s="287"/>
      <c r="FC68" s="287"/>
      <c r="FD68" s="287"/>
      <c r="FE68" s="287"/>
      <c r="FF68" s="287"/>
      <c r="FG68" s="287"/>
      <c r="FH68" s="287"/>
      <c r="FI68" s="287"/>
      <c r="FJ68" s="287"/>
      <c r="FK68" s="287"/>
      <c r="FL68" s="287"/>
      <c r="FM68" s="287"/>
      <c r="FN68" s="287"/>
      <c r="FO68" s="287"/>
      <c r="FP68" s="287"/>
      <c r="FQ68" s="287"/>
      <c r="FR68" s="287"/>
      <c r="FS68" s="287"/>
      <c r="FT68" s="287"/>
      <c r="FU68" s="287"/>
      <c r="FV68" s="287"/>
      <c r="FW68" s="287"/>
      <c r="FX68" s="287"/>
      <c r="FY68" s="287"/>
      <c r="FZ68" s="287"/>
      <c r="GA68" s="287"/>
      <c r="GB68" s="287"/>
      <c r="GC68" s="287"/>
      <c r="GD68" s="287"/>
      <c r="GE68" s="287"/>
      <c r="GF68" s="287"/>
      <c r="GG68" s="287"/>
      <c r="GH68" s="287"/>
      <c r="GI68" s="287"/>
      <c r="GJ68" s="287"/>
      <c r="GK68" s="287"/>
      <c r="GL68" s="287"/>
      <c r="GM68" s="287"/>
      <c r="GN68" s="287"/>
      <c r="GO68" s="287"/>
      <c r="GP68" s="287"/>
      <c r="GQ68" s="287"/>
      <c r="GR68" s="287"/>
      <c r="GS68" s="287"/>
      <c r="GT68" s="287"/>
      <c r="GU68" s="287"/>
      <c r="GV68" s="287"/>
      <c r="GW68" s="287"/>
      <c r="GX68" s="287"/>
      <c r="GY68" s="287"/>
      <c r="GZ68" s="287"/>
      <c r="HA68" s="287"/>
      <c r="HB68" s="287"/>
      <c r="HC68" s="287"/>
      <c r="HD68" s="287"/>
      <c r="HE68" s="287"/>
      <c r="HF68" s="287"/>
      <c r="HG68" s="287"/>
      <c r="HH68" s="287"/>
      <c r="HI68" s="287"/>
      <c r="HJ68" s="287"/>
      <c r="HK68" s="287"/>
      <c r="HL68" s="287"/>
      <c r="HM68" s="287"/>
      <c r="HN68" s="287"/>
      <c r="HO68" s="287"/>
      <c r="HP68" s="287"/>
      <c r="HQ68" s="287"/>
      <c r="HR68" s="287"/>
      <c r="HS68" s="287"/>
      <c r="HT68" s="287"/>
      <c r="HU68" s="287"/>
      <c r="HV68" s="287"/>
      <c r="HW68" s="287"/>
      <c r="HX68" s="287"/>
      <c r="HY68" s="287"/>
      <c r="HZ68" s="287"/>
      <c r="IA68" s="287"/>
      <c r="IB68" s="287"/>
      <c r="IC68" s="287"/>
      <c r="ID68" s="287"/>
      <c r="IE68" s="287"/>
      <c r="IF68" s="287"/>
      <c r="IG68" s="287"/>
      <c r="IH68" s="287"/>
      <c r="II68" s="287"/>
      <c r="IJ68" s="287"/>
      <c r="IK68" s="287"/>
      <c r="IL68" s="287"/>
      <c r="IM68" s="287"/>
      <c r="IN68" s="287"/>
      <c r="IO68" s="287"/>
      <c r="IP68" s="287"/>
      <c r="IQ68" s="287"/>
      <c r="IR68" s="287"/>
      <c r="IS68" s="287"/>
      <c r="IT68" s="287"/>
      <c r="IU68" s="287"/>
    </row>
    <row r="69" s="40" customFormat="1" ht="24" customHeight="1" spans="1:255">
      <c r="A69" s="54">
        <v>64</v>
      </c>
      <c r="B69" s="63">
        <v>5369</v>
      </c>
      <c r="C69" s="63" t="s">
        <v>658</v>
      </c>
      <c r="D69" s="63" t="s">
        <v>76</v>
      </c>
      <c r="E69" s="63" t="s">
        <v>870</v>
      </c>
      <c r="F69" s="64"/>
      <c r="G69" s="130" t="s">
        <v>959</v>
      </c>
      <c r="H69" s="66" t="s">
        <v>177</v>
      </c>
      <c r="I69" s="113" t="str">
        <f t="shared" si="0"/>
        <v>Erni Yusnita, S.Pd</v>
      </c>
      <c r="J69" s="129" t="s">
        <v>80</v>
      </c>
      <c r="K69" s="102" t="str">
        <f t="shared" si="13"/>
        <v>Perempuan</v>
      </c>
      <c r="L69" s="130" t="s">
        <v>960</v>
      </c>
      <c r="M69" s="131">
        <v>32310</v>
      </c>
      <c r="N69" s="132" t="str">
        <f ca="1" t="shared" si="2"/>
        <v>37 Tahun 4 Bulan </v>
      </c>
      <c r="O69" s="133" t="str">
        <f t="shared" si="10"/>
        <v>16 June 1988</v>
      </c>
      <c r="P69" s="63">
        <f ca="1" t="shared" si="7"/>
        <v>37</v>
      </c>
      <c r="Q69" s="63" t="str">
        <f ca="1" t="shared" si="8"/>
        <v>OKE</v>
      </c>
      <c r="R69" s="583" t="s">
        <v>961</v>
      </c>
      <c r="S69" s="64"/>
      <c r="T69" s="583" t="s">
        <v>156</v>
      </c>
      <c r="U69" s="65" t="s">
        <v>83</v>
      </c>
      <c r="V69" s="129" t="s">
        <v>290</v>
      </c>
      <c r="W69" s="63" t="s">
        <v>112</v>
      </c>
      <c r="X69" s="130" t="s">
        <v>962</v>
      </c>
      <c r="Y69" s="129">
        <v>5</v>
      </c>
      <c r="Z69" s="129"/>
      <c r="AA69" s="130"/>
      <c r="AB69" s="130" t="s">
        <v>893</v>
      </c>
      <c r="AC69" s="129">
        <v>77353</v>
      </c>
      <c r="AD69" s="130" t="s">
        <v>131</v>
      </c>
      <c r="AE69" s="130"/>
      <c r="AF69" s="583" t="s">
        <v>963</v>
      </c>
      <c r="AG69" s="130" t="s">
        <v>964</v>
      </c>
      <c r="AH69" s="64"/>
      <c r="AI69" s="64"/>
      <c r="AJ69" s="64" t="s">
        <v>965</v>
      </c>
      <c r="AK69" s="584" t="s">
        <v>966</v>
      </c>
      <c r="AL69" s="225" t="str">
        <f ca="1" t="shared" si="9"/>
        <v>15 Tahun 10 Bulan </v>
      </c>
      <c r="AM69" s="130" t="s">
        <v>967</v>
      </c>
      <c r="AN69" s="129" t="s">
        <v>93</v>
      </c>
      <c r="AO69" s="415" t="s">
        <v>968</v>
      </c>
      <c r="AP69" s="130" t="s">
        <v>95</v>
      </c>
      <c r="AQ69" s="130" t="s">
        <v>969</v>
      </c>
      <c r="AR69" s="583" t="s">
        <v>970</v>
      </c>
      <c r="AS69" s="130" t="s">
        <v>98</v>
      </c>
      <c r="AT69" s="130"/>
      <c r="AU69" s="130" t="s">
        <v>883</v>
      </c>
      <c r="AV69" s="130" t="s">
        <v>971</v>
      </c>
      <c r="AW69" s="129" t="s">
        <v>100</v>
      </c>
      <c r="AX69" s="65" t="s">
        <v>885</v>
      </c>
      <c r="AY69" s="130" t="s">
        <v>972</v>
      </c>
      <c r="AZ69" s="64"/>
      <c r="BA69" s="64"/>
      <c r="BB69" s="272" t="s">
        <v>346</v>
      </c>
      <c r="BC69" s="64" t="s">
        <v>973</v>
      </c>
      <c r="BD69" s="63"/>
      <c r="BE69" s="63">
        <v>30</v>
      </c>
      <c r="BF69" s="63">
        <v>30</v>
      </c>
      <c r="BG69" s="39" t="s">
        <v>974</v>
      </c>
      <c r="BH69" s="313" t="s">
        <v>526</v>
      </c>
      <c r="BI69" s="129" t="s">
        <v>131</v>
      </c>
      <c r="BJ69" s="423" t="s">
        <v>959</v>
      </c>
      <c r="BK69" s="130">
        <v>1122050528</v>
      </c>
      <c r="BL69" s="355"/>
      <c r="BM69" s="287"/>
      <c r="BN69" s="287"/>
      <c r="BO69" s="287"/>
      <c r="BP69" s="287"/>
      <c r="BQ69" s="287"/>
      <c r="BR69" s="287"/>
      <c r="BS69" s="287"/>
      <c r="BT69" s="287"/>
      <c r="BU69" s="287"/>
      <c r="BV69" s="287"/>
      <c r="BW69" s="287"/>
      <c r="BX69" s="287"/>
      <c r="BY69" s="287"/>
      <c r="BZ69" s="287"/>
      <c r="CA69" s="287"/>
      <c r="CB69" s="287"/>
      <c r="CC69" s="287"/>
      <c r="CD69" s="287"/>
      <c r="CE69" s="287"/>
      <c r="CF69" s="287"/>
      <c r="CG69" s="287"/>
      <c r="CH69" s="287"/>
      <c r="CI69" s="287"/>
      <c r="CJ69" s="287"/>
      <c r="CK69" s="287"/>
      <c r="CL69" s="287"/>
      <c r="CM69" s="287"/>
      <c r="CN69" s="287"/>
      <c r="CO69" s="287"/>
      <c r="CP69" s="287"/>
      <c r="CQ69" s="287"/>
      <c r="CR69" s="287"/>
      <c r="CS69" s="287"/>
      <c r="CT69" s="287"/>
      <c r="CU69" s="287"/>
      <c r="CV69" s="287"/>
      <c r="CW69" s="287"/>
      <c r="CX69" s="287"/>
      <c r="CY69" s="287"/>
      <c r="CZ69" s="287"/>
      <c r="DA69" s="287"/>
      <c r="DB69" s="287"/>
      <c r="DC69" s="287"/>
      <c r="DD69" s="287"/>
      <c r="DE69" s="287"/>
      <c r="DF69" s="287"/>
      <c r="DG69" s="287"/>
      <c r="DH69" s="287"/>
      <c r="DI69" s="287"/>
      <c r="DJ69" s="287"/>
      <c r="DK69" s="287"/>
      <c r="DL69" s="287"/>
      <c r="DM69" s="287"/>
      <c r="DN69" s="287"/>
      <c r="DO69" s="287"/>
      <c r="DP69" s="287"/>
      <c r="DQ69" s="287"/>
      <c r="DR69" s="287"/>
      <c r="DS69" s="287"/>
      <c r="DT69" s="287"/>
      <c r="DU69" s="287"/>
      <c r="DV69" s="287"/>
      <c r="DW69" s="287"/>
      <c r="DX69" s="287"/>
      <c r="DY69" s="287"/>
      <c r="DZ69" s="287"/>
      <c r="EA69" s="287"/>
      <c r="EB69" s="287"/>
      <c r="EC69" s="287"/>
      <c r="ED69" s="287"/>
      <c r="EE69" s="287"/>
      <c r="EF69" s="287"/>
      <c r="EG69" s="287"/>
      <c r="EH69" s="287"/>
      <c r="EI69" s="287"/>
      <c r="EJ69" s="287"/>
      <c r="EK69" s="287"/>
      <c r="EL69" s="287"/>
      <c r="EM69" s="287"/>
      <c r="EN69" s="287"/>
      <c r="EO69" s="287"/>
      <c r="EP69" s="287"/>
      <c r="EQ69" s="287"/>
      <c r="ER69" s="287"/>
      <c r="ES69" s="287"/>
      <c r="ET69" s="287"/>
      <c r="EU69" s="287"/>
      <c r="EV69" s="287"/>
      <c r="EW69" s="287"/>
      <c r="EX69" s="287"/>
      <c r="EY69" s="287"/>
      <c r="EZ69" s="287"/>
      <c r="FA69" s="287"/>
      <c r="FB69" s="287"/>
      <c r="FC69" s="287"/>
      <c r="FD69" s="287"/>
      <c r="FE69" s="287"/>
      <c r="FF69" s="287"/>
      <c r="FG69" s="287"/>
      <c r="FH69" s="287"/>
      <c r="FI69" s="287"/>
      <c r="FJ69" s="287"/>
      <c r="FK69" s="287"/>
      <c r="FL69" s="287"/>
      <c r="FM69" s="287"/>
      <c r="FN69" s="287"/>
      <c r="FO69" s="287"/>
      <c r="FP69" s="287"/>
      <c r="FQ69" s="287"/>
      <c r="FR69" s="287"/>
      <c r="FS69" s="287"/>
      <c r="FT69" s="287"/>
      <c r="FU69" s="287"/>
      <c r="FV69" s="287"/>
      <c r="FW69" s="287"/>
      <c r="FX69" s="287"/>
      <c r="FY69" s="287"/>
      <c r="FZ69" s="287"/>
      <c r="GA69" s="287"/>
      <c r="GB69" s="287"/>
      <c r="GC69" s="287"/>
      <c r="GD69" s="287"/>
      <c r="GE69" s="287"/>
      <c r="GF69" s="287"/>
      <c r="GG69" s="287"/>
      <c r="GH69" s="287"/>
      <c r="GI69" s="287"/>
      <c r="GJ69" s="287"/>
      <c r="GK69" s="287"/>
      <c r="GL69" s="287"/>
      <c r="GM69" s="287"/>
      <c r="GN69" s="287"/>
      <c r="GO69" s="287"/>
      <c r="GP69" s="287"/>
      <c r="GQ69" s="287"/>
      <c r="GR69" s="287"/>
      <c r="GS69" s="287"/>
      <c r="GT69" s="287"/>
      <c r="GU69" s="287"/>
      <c r="GV69" s="287"/>
      <c r="GW69" s="287"/>
      <c r="GX69" s="287"/>
      <c r="GY69" s="287"/>
      <c r="GZ69" s="287"/>
      <c r="HA69" s="287"/>
      <c r="HB69" s="287"/>
      <c r="HC69" s="287"/>
      <c r="HD69" s="287"/>
      <c r="HE69" s="287"/>
      <c r="HF69" s="287"/>
      <c r="HG69" s="287"/>
      <c r="HH69" s="287"/>
      <c r="HI69" s="287"/>
      <c r="HJ69" s="287"/>
      <c r="HK69" s="287"/>
      <c r="HL69" s="287"/>
      <c r="HM69" s="287"/>
      <c r="HN69" s="287"/>
      <c r="HO69" s="287"/>
      <c r="HP69" s="287"/>
      <c r="HQ69" s="287"/>
      <c r="HR69" s="287"/>
      <c r="HS69" s="287"/>
      <c r="HT69" s="287"/>
      <c r="HU69" s="287"/>
      <c r="HV69" s="287"/>
      <c r="HW69" s="287"/>
      <c r="HX69" s="287"/>
      <c r="HY69" s="287"/>
      <c r="HZ69" s="287"/>
      <c r="IA69" s="287"/>
      <c r="IB69" s="287"/>
      <c r="IC69" s="287"/>
      <c r="ID69" s="287"/>
      <c r="IE69" s="287"/>
      <c r="IF69" s="287"/>
      <c r="IG69" s="287"/>
      <c r="IH69" s="287"/>
      <c r="II69" s="287"/>
      <c r="IJ69" s="287"/>
      <c r="IK69" s="287"/>
      <c r="IL69" s="287"/>
      <c r="IM69" s="287"/>
      <c r="IN69" s="287"/>
      <c r="IO69" s="287"/>
      <c r="IP69" s="287"/>
      <c r="IQ69" s="287"/>
      <c r="IR69" s="287"/>
      <c r="IS69" s="287"/>
      <c r="IT69" s="287"/>
      <c r="IU69" s="287"/>
    </row>
    <row r="70" s="40" customFormat="1" ht="24" customHeight="1" spans="1:255">
      <c r="A70" s="54">
        <v>65</v>
      </c>
      <c r="B70" s="63">
        <v>5370</v>
      </c>
      <c r="C70" s="63" t="s">
        <v>658</v>
      </c>
      <c r="D70" s="63" t="s">
        <v>76</v>
      </c>
      <c r="E70" s="63" t="s">
        <v>870</v>
      </c>
      <c r="F70" s="64"/>
      <c r="G70" s="65" t="s">
        <v>975</v>
      </c>
      <c r="H70" s="357" t="s">
        <v>976</v>
      </c>
      <c r="I70" s="113" t="str">
        <f t="shared" ref="I70:I133" si="14">IF(H70&lt;&gt;"",G70&amp;", "&amp;H70,G70)</f>
        <v>Fitriasari, S.Si</v>
      </c>
      <c r="J70" s="129" t="s">
        <v>80</v>
      </c>
      <c r="K70" s="102" t="str">
        <f t="shared" si="13"/>
        <v>Perempuan</v>
      </c>
      <c r="L70" s="130" t="s">
        <v>977</v>
      </c>
      <c r="M70" s="131">
        <v>30847</v>
      </c>
      <c r="N70" s="132" t="str">
        <f ca="1" t="shared" ref="N70:N133" si="15">+DATEDIF(M70,NOW(),"Y")&amp;" Tahun "&amp;+DATEDIF(M70,NOW(),"YM")&amp;" Bulan "</f>
        <v>41 Tahun 4 Bulan </v>
      </c>
      <c r="O70" s="133" t="str">
        <f t="shared" si="10"/>
        <v>14 June 1984</v>
      </c>
      <c r="P70" s="63">
        <f ca="1" t="shared" si="7"/>
        <v>41</v>
      </c>
      <c r="Q70" s="63" t="str">
        <f ca="1" t="shared" si="8"/>
        <v>OKE</v>
      </c>
      <c r="R70" s="583" t="s">
        <v>978</v>
      </c>
      <c r="S70" s="64"/>
      <c r="T70" s="583" t="s">
        <v>979</v>
      </c>
      <c r="U70" s="65" t="s">
        <v>83</v>
      </c>
      <c r="V70" s="129" t="s">
        <v>290</v>
      </c>
      <c r="W70" s="63" t="s">
        <v>112</v>
      </c>
      <c r="X70" s="130" t="s">
        <v>980</v>
      </c>
      <c r="Y70" s="129">
        <v>7</v>
      </c>
      <c r="Z70" s="129"/>
      <c r="AA70" s="130"/>
      <c r="AB70" s="130" t="s">
        <v>88</v>
      </c>
      <c r="AC70" s="129">
        <v>77311</v>
      </c>
      <c r="AD70" s="130" t="s">
        <v>88</v>
      </c>
      <c r="AE70" s="130"/>
      <c r="AF70" s="583" t="s">
        <v>981</v>
      </c>
      <c r="AG70" s="65" t="s">
        <v>982</v>
      </c>
      <c r="AH70" s="64"/>
      <c r="AI70" s="64"/>
      <c r="AJ70" s="64" t="s">
        <v>983</v>
      </c>
      <c r="AK70" s="584" t="s">
        <v>215</v>
      </c>
      <c r="AL70" s="225" t="str">
        <f ca="1" t="shared" si="9"/>
        <v>17 Tahun 10 Bulan </v>
      </c>
      <c r="AM70" s="130" t="s">
        <v>92</v>
      </c>
      <c r="AN70" s="129" t="s">
        <v>93</v>
      </c>
      <c r="AO70" s="65" t="s">
        <v>984</v>
      </c>
      <c r="AP70" s="130" t="s">
        <v>95</v>
      </c>
      <c r="AQ70" s="130" t="s">
        <v>985</v>
      </c>
      <c r="AR70" s="130"/>
      <c r="AS70" s="130" t="s">
        <v>986</v>
      </c>
      <c r="AT70" s="130"/>
      <c r="AU70" s="130" t="s">
        <v>883</v>
      </c>
      <c r="AV70" s="130" t="s">
        <v>987</v>
      </c>
      <c r="AW70" s="129" t="s">
        <v>100</v>
      </c>
      <c r="AX70" s="65" t="s">
        <v>101</v>
      </c>
      <c r="AY70" s="130" t="s">
        <v>988</v>
      </c>
      <c r="AZ70" s="64"/>
      <c r="BA70" s="64"/>
      <c r="BB70" s="272" t="s">
        <v>989</v>
      </c>
      <c r="BC70" s="64" t="s">
        <v>990</v>
      </c>
      <c r="BD70" s="63"/>
      <c r="BE70" s="63">
        <v>29</v>
      </c>
      <c r="BF70" s="63">
        <v>29</v>
      </c>
      <c r="BG70" s="39" t="s">
        <v>619</v>
      </c>
      <c r="BH70" s="313" t="s">
        <v>526</v>
      </c>
      <c r="BI70" s="129" t="s">
        <v>88</v>
      </c>
      <c r="BJ70" s="423" t="s">
        <v>975</v>
      </c>
      <c r="BK70" s="585" t="s">
        <v>991</v>
      </c>
      <c r="BL70" s="355"/>
      <c r="BM70" s="287"/>
      <c r="BN70" s="287"/>
      <c r="BO70" s="287"/>
      <c r="BP70" s="287"/>
      <c r="BQ70" s="287"/>
      <c r="BR70" s="287"/>
      <c r="BS70" s="287"/>
      <c r="BT70" s="287"/>
      <c r="BU70" s="287"/>
      <c r="BV70" s="287"/>
      <c r="BW70" s="287"/>
      <c r="BX70" s="287"/>
      <c r="BY70" s="287"/>
      <c r="BZ70" s="287"/>
      <c r="CA70" s="287"/>
      <c r="CB70" s="287"/>
      <c r="CC70" s="287"/>
      <c r="CD70" s="287"/>
      <c r="CE70" s="287"/>
      <c r="CF70" s="287"/>
      <c r="CG70" s="287"/>
      <c r="CH70" s="287"/>
      <c r="CI70" s="287"/>
      <c r="CJ70" s="287"/>
      <c r="CK70" s="287"/>
      <c r="CL70" s="287"/>
      <c r="CM70" s="287"/>
      <c r="CN70" s="287"/>
      <c r="CO70" s="287"/>
      <c r="CP70" s="287"/>
      <c r="CQ70" s="287"/>
      <c r="CR70" s="287"/>
      <c r="CS70" s="287"/>
      <c r="CT70" s="287"/>
      <c r="CU70" s="287"/>
      <c r="CV70" s="287"/>
      <c r="CW70" s="287"/>
      <c r="CX70" s="287"/>
      <c r="CY70" s="287"/>
      <c r="CZ70" s="287"/>
      <c r="DA70" s="287"/>
      <c r="DB70" s="287"/>
      <c r="DC70" s="287"/>
      <c r="DD70" s="287"/>
      <c r="DE70" s="287"/>
      <c r="DF70" s="287"/>
      <c r="DG70" s="287"/>
      <c r="DH70" s="287"/>
      <c r="DI70" s="287"/>
      <c r="DJ70" s="287"/>
      <c r="DK70" s="287"/>
      <c r="DL70" s="287"/>
      <c r="DM70" s="287"/>
      <c r="DN70" s="287"/>
      <c r="DO70" s="287"/>
      <c r="DP70" s="287"/>
      <c r="DQ70" s="287"/>
      <c r="DR70" s="287"/>
      <c r="DS70" s="287"/>
      <c r="DT70" s="287"/>
      <c r="DU70" s="287"/>
      <c r="DV70" s="287"/>
      <c r="DW70" s="287"/>
      <c r="DX70" s="287"/>
      <c r="DY70" s="287"/>
      <c r="DZ70" s="287"/>
      <c r="EA70" s="287"/>
      <c r="EB70" s="287"/>
      <c r="EC70" s="287"/>
      <c r="ED70" s="287"/>
      <c r="EE70" s="287"/>
      <c r="EF70" s="287"/>
      <c r="EG70" s="287"/>
      <c r="EH70" s="287"/>
      <c r="EI70" s="287"/>
      <c r="EJ70" s="287"/>
      <c r="EK70" s="287"/>
      <c r="EL70" s="287"/>
      <c r="EM70" s="287"/>
      <c r="EN70" s="287"/>
      <c r="EO70" s="287"/>
      <c r="EP70" s="287"/>
      <c r="EQ70" s="287"/>
      <c r="ER70" s="287"/>
      <c r="ES70" s="287"/>
      <c r="ET70" s="287"/>
      <c r="EU70" s="287"/>
      <c r="EV70" s="287"/>
      <c r="EW70" s="287"/>
      <c r="EX70" s="287"/>
      <c r="EY70" s="287"/>
      <c r="EZ70" s="287"/>
      <c r="FA70" s="287"/>
      <c r="FB70" s="287"/>
      <c r="FC70" s="287"/>
      <c r="FD70" s="287"/>
      <c r="FE70" s="287"/>
      <c r="FF70" s="287"/>
      <c r="FG70" s="287"/>
      <c r="FH70" s="287"/>
      <c r="FI70" s="287"/>
      <c r="FJ70" s="287"/>
      <c r="FK70" s="287"/>
      <c r="FL70" s="287"/>
      <c r="FM70" s="287"/>
      <c r="FN70" s="287"/>
      <c r="FO70" s="287"/>
      <c r="FP70" s="287"/>
      <c r="FQ70" s="287"/>
      <c r="FR70" s="287"/>
      <c r="FS70" s="287"/>
      <c r="FT70" s="287"/>
      <c r="FU70" s="287"/>
      <c r="FV70" s="287"/>
      <c r="FW70" s="287"/>
      <c r="FX70" s="287"/>
      <c r="FY70" s="287"/>
      <c r="FZ70" s="287"/>
      <c r="GA70" s="287"/>
      <c r="GB70" s="287"/>
      <c r="GC70" s="287"/>
      <c r="GD70" s="287"/>
      <c r="GE70" s="287"/>
      <c r="GF70" s="287"/>
      <c r="GG70" s="287"/>
      <c r="GH70" s="287"/>
      <c r="GI70" s="287"/>
      <c r="GJ70" s="287"/>
      <c r="GK70" s="287"/>
      <c r="GL70" s="287"/>
      <c r="GM70" s="287"/>
      <c r="GN70" s="287"/>
      <c r="GO70" s="287"/>
      <c r="GP70" s="287"/>
      <c r="GQ70" s="287"/>
      <c r="GR70" s="287"/>
      <c r="GS70" s="287"/>
      <c r="GT70" s="287"/>
      <c r="GU70" s="287"/>
      <c r="GV70" s="287"/>
      <c r="GW70" s="287"/>
      <c r="GX70" s="287"/>
      <c r="GY70" s="287"/>
      <c r="GZ70" s="287"/>
      <c r="HA70" s="287"/>
      <c r="HB70" s="287"/>
      <c r="HC70" s="287"/>
      <c r="HD70" s="287"/>
      <c r="HE70" s="287"/>
      <c r="HF70" s="287"/>
      <c r="HG70" s="287"/>
      <c r="HH70" s="287"/>
      <c r="HI70" s="287"/>
      <c r="HJ70" s="287"/>
      <c r="HK70" s="287"/>
      <c r="HL70" s="287"/>
      <c r="HM70" s="287"/>
      <c r="HN70" s="287"/>
      <c r="HO70" s="287"/>
      <c r="HP70" s="287"/>
      <c r="HQ70" s="287"/>
      <c r="HR70" s="287"/>
      <c r="HS70" s="287"/>
      <c r="HT70" s="287"/>
      <c r="HU70" s="287"/>
      <c r="HV70" s="287"/>
      <c r="HW70" s="287"/>
      <c r="HX70" s="287"/>
      <c r="HY70" s="287"/>
      <c r="HZ70" s="287"/>
      <c r="IA70" s="287"/>
      <c r="IB70" s="287"/>
      <c r="IC70" s="287"/>
      <c r="ID70" s="287"/>
      <c r="IE70" s="287"/>
      <c r="IF70" s="287"/>
      <c r="IG70" s="287"/>
      <c r="IH70" s="287"/>
      <c r="II70" s="287"/>
      <c r="IJ70" s="287"/>
      <c r="IK70" s="287"/>
      <c r="IL70" s="287"/>
      <c r="IM70" s="287"/>
      <c r="IN70" s="287"/>
      <c r="IO70" s="287"/>
      <c r="IP70" s="287"/>
      <c r="IQ70" s="287"/>
      <c r="IR70" s="287"/>
      <c r="IS70" s="287"/>
      <c r="IT70" s="287"/>
      <c r="IU70" s="287"/>
    </row>
    <row r="71" s="40" customFormat="1" ht="24" customHeight="1" spans="1:255">
      <c r="A71" s="54">
        <v>66</v>
      </c>
      <c r="B71" s="63">
        <v>5371</v>
      </c>
      <c r="C71" s="63" t="s">
        <v>658</v>
      </c>
      <c r="D71" s="63" t="s">
        <v>76</v>
      </c>
      <c r="E71" s="63" t="s">
        <v>870</v>
      </c>
      <c r="F71" s="64"/>
      <c r="G71" s="65" t="s">
        <v>992</v>
      </c>
      <c r="H71" s="66" t="s">
        <v>177</v>
      </c>
      <c r="I71" s="113" t="str">
        <f t="shared" si="14"/>
        <v>Simprianus Simpo, S.Pd</v>
      </c>
      <c r="J71" s="129" t="s">
        <v>127</v>
      </c>
      <c r="K71" s="102" t="str">
        <f t="shared" si="13"/>
        <v>Laki-laki</v>
      </c>
      <c r="L71" s="130" t="s">
        <v>993</v>
      </c>
      <c r="M71" s="131">
        <v>31197</v>
      </c>
      <c r="N71" s="132" t="str">
        <f ca="1" t="shared" si="15"/>
        <v>40 Tahun 5 Bulan </v>
      </c>
      <c r="O71" s="133" t="str">
        <f t="shared" si="10"/>
        <v>30 May 1985</v>
      </c>
      <c r="P71" s="63">
        <f ca="1" t="shared" si="7"/>
        <v>40</v>
      </c>
      <c r="Q71" s="63" t="str">
        <f ca="1" t="shared" si="8"/>
        <v>OKE</v>
      </c>
      <c r="R71" s="583" t="s">
        <v>994</v>
      </c>
      <c r="S71" s="64"/>
      <c r="T71" s="583" t="s">
        <v>156</v>
      </c>
      <c r="U71" s="65" t="s">
        <v>83</v>
      </c>
      <c r="V71" s="129" t="s">
        <v>290</v>
      </c>
      <c r="W71" s="129" t="s">
        <v>995</v>
      </c>
      <c r="X71" s="130" t="s">
        <v>996</v>
      </c>
      <c r="Y71" s="129">
        <v>5</v>
      </c>
      <c r="Z71" s="129"/>
      <c r="AA71" s="130"/>
      <c r="AB71" s="130" t="s">
        <v>997</v>
      </c>
      <c r="AC71" s="129">
        <v>77361</v>
      </c>
      <c r="AD71" s="130" t="s">
        <v>998</v>
      </c>
      <c r="AE71" s="130"/>
      <c r="AF71" s="583" t="s">
        <v>999</v>
      </c>
      <c r="AG71" s="130" t="s">
        <v>1000</v>
      </c>
      <c r="AH71" s="64"/>
      <c r="AI71" s="64"/>
      <c r="AJ71" s="64" t="s">
        <v>1001</v>
      </c>
      <c r="AK71" s="586" t="s">
        <v>1002</v>
      </c>
      <c r="AL71" s="225" t="str">
        <f ca="1" t="shared" si="9"/>
        <v>12 Tahun 2 Bulan </v>
      </c>
      <c r="AM71" s="130" t="s">
        <v>92</v>
      </c>
      <c r="AN71" s="129" t="s">
        <v>93</v>
      </c>
      <c r="AO71" s="130" t="s">
        <v>1003</v>
      </c>
      <c r="AP71" s="130" t="s">
        <v>297</v>
      </c>
      <c r="AQ71" s="583" t="s">
        <v>156</v>
      </c>
      <c r="AR71" s="130"/>
      <c r="AS71" s="130"/>
      <c r="AT71" s="130"/>
      <c r="AU71" s="130" t="s">
        <v>883</v>
      </c>
      <c r="AV71" s="130" t="s">
        <v>1004</v>
      </c>
      <c r="AW71" s="129" t="s">
        <v>100</v>
      </c>
      <c r="AX71" s="65" t="s">
        <v>885</v>
      </c>
      <c r="AY71" s="130" t="s">
        <v>1005</v>
      </c>
      <c r="AZ71" s="64"/>
      <c r="BA71" s="64"/>
      <c r="BB71" s="272" t="s">
        <v>346</v>
      </c>
      <c r="BC71" s="64" t="s">
        <v>1006</v>
      </c>
      <c r="BD71" s="63"/>
      <c r="BE71" s="63">
        <v>36</v>
      </c>
      <c r="BF71" s="63">
        <v>36</v>
      </c>
      <c r="BG71" s="39" t="s">
        <v>1007</v>
      </c>
      <c r="BH71" s="313" t="s">
        <v>526</v>
      </c>
      <c r="BI71" s="129" t="s">
        <v>131</v>
      </c>
      <c r="BJ71" s="423" t="s">
        <v>992</v>
      </c>
      <c r="BK71" s="65">
        <v>1122050536</v>
      </c>
      <c r="BL71" s="355"/>
      <c r="BM71" s="287"/>
      <c r="BN71" s="287"/>
      <c r="BO71" s="287"/>
      <c r="BP71" s="287"/>
      <c r="BQ71" s="287"/>
      <c r="BR71" s="287"/>
      <c r="BS71" s="287"/>
      <c r="BT71" s="287"/>
      <c r="BU71" s="287"/>
      <c r="BV71" s="287"/>
      <c r="BW71" s="287"/>
      <c r="BX71" s="287"/>
      <c r="BY71" s="287"/>
      <c r="BZ71" s="287"/>
      <c r="CA71" s="287"/>
      <c r="CB71" s="287"/>
      <c r="CC71" s="287"/>
      <c r="CD71" s="287"/>
      <c r="CE71" s="287"/>
      <c r="CF71" s="287"/>
      <c r="CG71" s="287"/>
      <c r="CH71" s="287"/>
      <c r="CI71" s="287"/>
      <c r="CJ71" s="287"/>
      <c r="CK71" s="287"/>
      <c r="CL71" s="287"/>
      <c r="CM71" s="287"/>
      <c r="CN71" s="287"/>
      <c r="CO71" s="287"/>
      <c r="CP71" s="287"/>
      <c r="CQ71" s="287"/>
      <c r="CR71" s="287"/>
      <c r="CS71" s="287"/>
      <c r="CT71" s="287"/>
      <c r="CU71" s="287"/>
      <c r="CV71" s="287"/>
      <c r="CW71" s="287"/>
      <c r="CX71" s="287"/>
      <c r="CY71" s="287"/>
      <c r="CZ71" s="287"/>
      <c r="DA71" s="287"/>
      <c r="DB71" s="287"/>
      <c r="DC71" s="287"/>
      <c r="DD71" s="287"/>
      <c r="DE71" s="287"/>
      <c r="DF71" s="287"/>
      <c r="DG71" s="287"/>
      <c r="DH71" s="287"/>
      <c r="DI71" s="287"/>
      <c r="DJ71" s="287"/>
      <c r="DK71" s="287"/>
      <c r="DL71" s="287"/>
      <c r="DM71" s="287"/>
      <c r="DN71" s="287"/>
      <c r="DO71" s="287"/>
      <c r="DP71" s="287"/>
      <c r="DQ71" s="287"/>
      <c r="DR71" s="287"/>
      <c r="DS71" s="287"/>
      <c r="DT71" s="287"/>
      <c r="DU71" s="287"/>
      <c r="DV71" s="287"/>
      <c r="DW71" s="287"/>
      <c r="DX71" s="287"/>
      <c r="DY71" s="287"/>
      <c r="DZ71" s="287"/>
      <c r="EA71" s="287"/>
      <c r="EB71" s="287"/>
      <c r="EC71" s="287"/>
      <c r="ED71" s="287"/>
      <c r="EE71" s="287"/>
      <c r="EF71" s="287"/>
      <c r="EG71" s="287"/>
      <c r="EH71" s="287"/>
      <c r="EI71" s="287"/>
      <c r="EJ71" s="287"/>
      <c r="EK71" s="287"/>
      <c r="EL71" s="287"/>
      <c r="EM71" s="287"/>
      <c r="EN71" s="287"/>
      <c r="EO71" s="287"/>
      <c r="EP71" s="287"/>
      <c r="EQ71" s="287"/>
      <c r="ER71" s="287"/>
      <c r="ES71" s="287"/>
      <c r="ET71" s="287"/>
      <c r="EU71" s="287"/>
      <c r="EV71" s="287"/>
      <c r="EW71" s="287"/>
      <c r="EX71" s="287"/>
      <c r="EY71" s="287"/>
      <c r="EZ71" s="287"/>
      <c r="FA71" s="287"/>
      <c r="FB71" s="287"/>
      <c r="FC71" s="287"/>
      <c r="FD71" s="287"/>
      <c r="FE71" s="287"/>
      <c r="FF71" s="287"/>
      <c r="FG71" s="287"/>
      <c r="FH71" s="287"/>
      <c r="FI71" s="287"/>
      <c r="FJ71" s="287"/>
      <c r="FK71" s="287"/>
      <c r="FL71" s="287"/>
      <c r="FM71" s="287"/>
      <c r="FN71" s="287"/>
      <c r="FO71" s="287"/>
      <c r="FP71" s="287"/>
      <c r="FQ71" s="287"/>
      <c r="FR71" s="287"/>
      <c r="FS71" s="287"/>
      <c r="FT71" s="287"/>
      <c r="FU71" s="287"/>
      <c r="FV71" s="287"/>
      <c r="FW71" s="287"/>
      <c r="FX71" s="287"/>
      <c r="FY71" s="287"/>
      <c r="FZ71" s="287"/>
      <c r="GA71" s="287"/>
      <c r="GB71" s="287"/>
      <c r="GC71" s="287"/>
      <c r="GD71" s="287"/>
      <c r="GE71" s="287"/>
      <c r="GF71" s="287"/>
      <c r="GG71" s="287"/>
      <c r="GH71" s="287"/>
      <c r="GI71" s="287"/>
      <c r="GJ71" s="287"/>
      <c r="GK71" s="287"/>
      <c r="GL71" s="287"/>
      <c r="GM71" s="287"/>
      <c r="GN71" s="287"/>
      <c r="GO71" s="287"/>
      <c r="GP71" s="287"/>
      <c r="GQ71" s="287"/>
      <c r="GR71" s="287"/>
      <c r="GS71" s="287"/>
      <c r="GT71" s="287"/>
      <c r="GU71" s="287"/>
      <c r="GV71" s="287"/>
      <c r="GW71" s="287"/>
      <c r="GX71" s="287"/>
      <c r="GY71" s="287"/>
      <c r="GZ71" s="287"/>
      <c r="HA71" s="287"/>
      <c r="HB71" s="287"/>
      <c r="HC71" s="287"/>
      <c r="HD71" s="287"/>
      <c r="HE71" s="287"/>
      <c r="HF71" s="287"/>
      <c r="HG71" s="287"/>
      <c r="HH71" s="287"/>
      <c r="HI71" s="287"/>
      <c r="HJ71" s="287"/>
      <c r="HK71" s="287"/>
      <c r="HL71" s="287"/>
      <c r="HM71" s="287"/>
      <c r="HN71" s="287"/>
      <c r="HO71" s="287"/>
      <c r="HP71" s="287"/>
      <c r="HQ71" s="287"/>
      <c r="HR71" s="287"/>
      <c r="HS71" s="287"/>
      <c r="HT71" s="287"/>
      <c r="HU71" s="287"/>
      <c r="HV71" s="287"/>
      <c r="HW71" s="287"/>
      <c r="HX71" s="287"/>
      <c r="HY71" s="287"/>
      <c r="HZ71" s="287"/>
      <c r="IA71" s="287"/>
      <c r="IB71" s="287"/>
      <c r="IC71" s="287"/>
      <c r="ID71" s="287"/>
      <c r="IE71" s="287"/>
      <c r="IF71" s="287"/>
      <c r="IG71" s="287"/>
      <c r="IH71" s="287"/>
      <c r="II71" s="287"/>
      <c r="IJ71" s="287"/>
      <c r="IK71" s="287"/>
      <c r="IL71" s="287"/>
      <c r="IM71" s="287"/>
      <c r="IN71" s="287"/>
      <c r="IO71" s="287"/>
      <c r="IP71" s="287"/>
      <c r="IQ71" s="287"/>
      <c r="IR71" s="287"/>
      <c r="IS71" s="287"/>
      <c r="IT71" s="287"/>
      <c r="IU71" s="287"/>
    </row>
    <row r="72" s="40" customFormat="1" ht="24" customHeight="1" spans="1:255">
      <c r="A72" s="54">
        <v>67</v>
      </c>
      <c r="B72" s="63">
        <v>5372</v>
      </c>
      <c r="C72" s="63" t="s">
        <v>658</v>
      </c>
      <c r="D72" s="63" t="s">
        <v>76</v>
      </c>
      <c r="E72" s="63" t="s">
        <v>870</v>
      </c>
      <c r="F72" s="64"/>
      <c r="G72" s="130" t="s">
        <v>1008</v>
      </c>
      <c r="H72" s="357" t="s">
        <v>872</v>
      </c>
      <c r="I72" s="113" t="str">
        <f t="shared" si="14"/>
        <v>Ridwan, S.PdI</v>
      </c>
      <c r="J72" s="129" t="s">
        <v>127</v>
      </c>
      <c r="K72" s="102" t="str">
        <f t="shared" si="13"/>
        <v>Laki-laki</v>
      </c>
      <c r="L72" s="130" t="s">
        <v>919</v>
      </c>
      <c r="M72" s="131">
        <v>29301</v>
      </c>
      <c r="N72" s="132" t="str">
        <f ca="1" t="shared" si="15"/>
        <v>45 Tahun 7 Bulan </v>
      </c>
      <c r="O72" s="133" t="str">
        <f t="shared" si="10"/>
        <v>21 March 1980</v>
      </c>
      <c r="P72" s="63">
        <f ca="1" t="shared" si="7"/>
        <v>45</v>
      </c>
      <c r="Q72" s="63" t="str">
        <f ca="1" t="shared" si="8"/>
        <v>OKE</v>
      </c>
      <c r="R72" s="583" t="s">
        <v>1009</v>
      </c>
      <c r="S72" s="64"/>
      <c r="T72" s="583" t="s">
        <v>1010</v>
      </c>
      <c r="U72" s="65" t="s">
        <v>83</v>
      </c>
      <c r="V72" s="129" t="s">
        <v>290</v>
      </c>
      <c r="W72" s="63" t="s">
        <v>112</v>
      </c>
      <c r="X72" s="130" t="s">
        <v>1011</v>
      </c>
      <c r="Y72" s="129">
        <v>9</v>
      </c>
      <c r="Z72" s="129"/>
      <c r="AA72" s="130"/>
      <c r="AB72" s="130" t="s">
        <v>935</v>
      </c>
      <c r="AC72" s="129">
        <v>77353</v>
      </c>
      <c r="AD72" s="130" t="s">
        <v>131</v>
      </c>
      <c r="AE72" s="130"/>
      <c r="AF72" s="583" t="s">
        <v>1012</v>
      </c>
      <c r="AG72" s="130" t="s">
        <v>1013</v>
      </c>
      <c r="AH72" s="64"/>
      <c r="AI72" s="64"/>
      <c r="AJ72" s="130" t="s">
        <v>1014</v>
      </c>
      <c r="AK72" s="584" t="s">
        <v>1015</v>
      </c>
      <c r="AL72" s="225" t="str">
        <f ca="1" t="shared" si="9"/>
        <v>16 Tahun 4 Bulan </v>
      </c>
      <c r="AM72" s="130" t="s">
        <v>92</v>
      </c>
      <c r="AN72" s="129" t="s">
        <v>93</v>
      </c>
      <c r="AO72" s="65" t="s">
        <v>1016</v>
      </c>
      <c r="AP72" s="130" t="s">
        <v>95</v>
      </c>
      <c r="AQ72" s="130" t="s">
        <v>1017</v>
      </c>
      <c r="AR72" s="583" t="s">
        <v>1018</v>
      </c>
      <c r="AS72" s="130" t="s">
        <v>98</v>
      </c>
      <c r="AT72" s="130"/>
      <c r="AU72" s="130" t="s">
        <v>883</v>
      </c>
      <c r="AV72" s="130" t="s">
        <v>1019</v>
      </c>
      <c r="AW72" s="129" t="s">
        <v>100</v>
      </c>
      <c r="AX72" s="65" t="s">
        <v>885</v>
      </c>
      <c r="AY72" s="130" t="s">
        <v>943</v>
      </c>
      <c r="AZ72" s="64"/>
      <c r="BA72" s="64"/>
      <c r="BB72" s="272" t="s">
        <v>1020</v>
      </c>
      <c r="BC72" s="64" t="s">
        <v>1021</v>
      </c>
      <c r="BD72" s="63"/>
      <c r="BE72" s="63">
        <v>27</v>
      </c>
      <c r="BF72" s="63">
        <v>27</v>
      </c>
      <c r="BG72" s="39" t="s">
        <v>606</v>
      </c>
      <c r="BH72" s="313" t="s">
        <v>526</v>
      </c>
      <c r="BI72" s="129" t="s">
        <v>131</v>
      </c>
      <c r="BJ72" s="423" t="s">
        <v>1008</v>
      </c>
      <c r="BK72" s="130">
        <v>1122050544</v>
      </c>
      <c r="BL72" s="355"/>
      <c r="BM72" s="287"/>
      <c r="BN72" s="287"/>
      <c r="BO72" s="287"/>
      <c r="BP72" s="287"/>
      <c r="BQ72" s="287"/>
      <c r="BR72" s="287"/>
      <c r="BS72" s="287"/>
      <c r="BT72" s="287"/>
      <c r="BU72" s="287"/>
      <c r="BV72" s="287"/>
      <c r="BW72" s="287"/>
      <c r="BX72" s="287"/>
      <c r="BY72" s="287"/>
      <c r="BZ72" s="287"/>
      <c r="CA72" s="287"/>
      <c r="CB72" s="287"/>
      <c r="CC72" s="287"/>
      <c r="CD72" s="287"/>
      <c r="CE72" s="287"/>
      <c r="CF72" s="287"/>
      <c r="CG72" s="287"/>
      <c r="CH72" s="287"/>
      <c r="CI72" s="287"/>
      <c r="CJ72" s="287"/>
      <c r="CK72" s="287"/>
      <c r="CL72" s="287"/>
      <c r="CM72" s="287"/>
      <c r="CN72" s="287"/>
      <c r="CO72" s="287"/>
      <c r="CP72" s="287"/>
      <c r="CQ72" s="287"/>
      <c r="CR72" s="287"/>
      <c r="CS72" s="287"/>
      <c r="CT72" s="287"/>
      <c r="CU72" s="287"/>
      <c r="CV72" s="287"/>
      <c r="CW72" s="287"/>
      <c r="CX72" s="287"/>
      <c r="CY72" s="287"/>
      <c r="CZ72" s="287"/>
      <c r="DA72" s="287"/>
      <c r="DB72" s="287"/>
      <c r="DC72" s="287"/>
      <c r="DD72" s="287"/>
      <c r="DE72" s="287"/>
      <c r="DF72" s="287"/>
      <c r="DG72" s="287"/>
      <c r="DH72" s="287"/>
      <c r="DI72" s="287"/>
      <c r="DJ72" s="287"/>
      <c r="DK72" s="287"/>
      <c r="DL72" s="287"/>
      <c r="DM72" s="287"/>
      <c r="DN72" s="287"/>
      <c r="DO72" s="287"/>
      <c r="DP72" s="287"/>
      <c r="DQ72" s="287"/>
      <c r="DR72" s="287"/>
      <c r="DS72" s="287"/>
      <c r="DT72" s="287"/>
      <c r="DU72" s="287"/>
      <c r="DV72" s="287"/>
      <c r="DW72" s="287"/>
      <c r="DX72" s="287"/>
      <c r="DY72" s="287"/>
      <c r="DZ72" s="287"/>
      <c r="EA72" s="287"/>
      <c r="EB72" s="287"/>
      <c r="EC72" s="287"/>
      <c r="ED72" s="287"/>
      <c r="EE72" s="287"/>
      <c r="EF72" s="287"/>
      <c r="EG72" s="287"/>
      <c r="EH72" s="287"/>
      <c r="EI72" s="287"/>
      <c r="EJ72" s="287"/>
      <c r="EK72" s="287"/>
      <c r="EL72" s="287"/>
      <c r="EM72" s="287"/>
      <c r="EN72" s="287"/>
      <c r="EO72" s="287"/>
      <c r="EP72" s="287"/>
      <c r="EQ72" s="287"/>
      <c r="ER72" s="287"/>
      <c r="ES72" s="287"/>
      <c r="ET72" s="287"/>
      <c r="EU72" s="287"/>
      <c r="EV72" s="287"/>
      <c r="EW72" s="287"/>
      <c r="EX72" s="287"/>
      <c r="EY72" s="287"/>
      <c r="EZ72" s="287"/>
      <c r="FA72" s="287"/>
      <c r="FB72" s="287"/>
      <c r="FC72" s="287"/>
      <c r="FD72" s="287"/>
      <c r="FE72" s="287"/>
      <c r="FF72" s="287"/>
      <c r="FG72" s="287"/>
      <c r="FH72" s="287"/>
      <c r="FI72" s="287"/>
      <c r="FJ72" s="287"/>
      <c r="FK72" s="287"/>
      <c r="FL72" s="287"/>
      <c r="FM72" s="287"/>
      <c r="FN72" s="287"/>
      <c r="FO72" s="287"/>
      <c r="FP72" s="287"/>
      <c r="FQ72" s="287"/>
      <c r="FR72" s="287"/>
      <c r="FS72" s="287"/>
      <c r="FT72" s="287"/>
      <c r="FU72" s="287"/>
      <c r="FV72" s="287"/>
      <c r="FW72" s="287"/>
      <c r="FX72" s="287"/>
      <c r="FY72" s="287"/>
      <c r="FZ72" s="287"/>
      <c r="GA72" s="287"/>
      <c r="GB72" s="287"/>
      <c r="GC72" s="287"/>
      <c r="GD72" s="287"/>
      <c r="GE72" s="287"/>
      <c r="GF72" s="287"/>
      <c r="GG72" s="287"/>
      <c r="GH72" s="287"/>
      <c r="GI72" s="287"/>
      <c r="GJ72" s="287"/>
      <c r="GK72" s="287"/>
      <c r="GL72" s="287"/>
      <c r="GM72" s="287"/>
      <c r="GN72" s="287"/>
      <c r="GO72" s="287"/>
      <c r="GP72" s="287"/>
      <c r="GQ72" s="287"/>
      <c r="GR72" s="287"/>
      <c r="GS72" s="287"/>
      <c r="GT72" s="287"/>
      <c r="GU72" s="287"/>
      <c r="GV72" s="287"/>
      <c r="GW72" s="287"/>
      <c r="GX72" s="287"/>
      <c r="GY72" s="287"/>
      <c r="GZ72" s="287"/>
      <c r="HA72" s="287"/>
      <c r="HB72" s="287"/>
      <c r="HC72" s="287"/>
      <c r="HD72" s="287"/>
      <c r="HE72" s="287"/>
      <c r="HF72" s="287"/>
      <c r="HG72" s="287"/>
      <c r="HH72" s="287"/>
      <c r="HI72" s="287"/>
      <c r="HJ72" s="287"/>
      <c r="HK72" s="287"/>
      <c r="HL72" s="287"/>
      <c r="HM72" s="287"/>
      <c r="HN72" s="287"/>
      <c r="HO72" s="287"/>
      <c r="HP72" s="287"/>
      <c r="HQ72" s="287"/>
      <c r="HR72" s="287"/>
      <c r="HS72" s="287"/>
      <c r="HT72" s="287"/>
      <c r="HU72" s="287"/>
      <c r="HV72" s="287"/>
      <c r="HW72" s="287"/>
      <c r="HX72" s="287"/>
      <c r="HY72" s="287"/>
      <c r="HZ72" s="287"/>
      <c r="IA72" s="287"/>
      <c r="IB72" s="287"/>
      <c r="IC72" s="287"/>
      <c r="ID72" s="287"/>
      <c r="IE72" s="287"/>
      <c r="IF72" s="287"/>
      <c r="IG72" s="287"/>
      <c r="IH72" s="287"/>
      <c r="II72" s="287"/>
      <c r="IJ72" s="287"/>
      <c r="IK72" s="287"/>
      <c r="IL72" s="287"/>
      <c r="IM72" s="287"/>
      <c r="IN72" s="287"/>
      <c r="IO72" s="287"/>
      <c r="IP72" s="287"/>
      <c r="IQ72" s="287"/>
      <c r="IR72" s="287"/>
      <c r="IS72" s="287"/>
      <c r="IT72" s="287"/>
      <c r="IU72" s="287"/>
    </row>
    <row r="73" s="40" customFormat="1" ht="24" customHeight="1" spans="1:255">
      <c r="A73" s="54">
        <v>68</v>
      </c>
      <c r="B73" s="63">
        <v>2681</v>
      </c>
      <c r="C73" s="63" t="s">
        <v>658</v>
      </c>
      <c r="D73" s="63" t="s">
        <v>76</v>
      </c>
      <c r="E73" s="63" t="s">
        <v>870</v>
      </c>
      <c r="F73" s="64"/>
      <c r="G73" s="130" t="s">
        <v>1022</v>
      </c>
      <c r="H73" s="129" t="s">
        <v>177</v>
      </c>
      <c r="I73" s="113" t="str">
        <f t="shared" si="14"/>
        <v>Kartini, S.Pd</v>
      </c>
      <c r="J73" s="129" t="s">
        <v>80</v>
      </c>
      <c r="K73" s="102" t="str">
        <f t="shared" si="13"/>
        <v>Perempuan</v>
      </c>
      <c r="L73" s="130" t="s">
        <v>1023</v>
      </c>
      <c r="M73" s="131">
        <v>32422</v>
      </c>
      <c r="N73" s="132" t="str">
        <f ca="1" t="shared" si="15"/>
        <v>37 Tahun 0 Bulan </v>
      </c>
      <c r="O73" s="133" t="str">
        <f t="shared" si="10"/>
        <v>06 October 1988</v>
      </c>
      <c r="P73" s="63">
        <f ca="1" t="shared" si="7"/>
        <v>37</v>
      </c>
      <c r="Q73" s="63" t="str">
        <f ca="1" t="shared" si="8"/>
        <v>OKE</v>
      </c>
      <c r="R73" s="587" t="s">
        <v>1024</v>
      </c>
      <c r="S73" s="64"/>
      <c r="T73" s="583" t="s">
        <v>156</v>
      </c>
      <c r="U73" s="65" t="s">
        <v>83</v>
      </c>
      <c r="V73" s="129" t="s">
        <v>290</v>
      </c>
      <c r="W73" s="63" t="s">
        <v>112</v>
      </c>
      <c r="X73" s="130" t="s">
        <v>1025</v>
      </c>
      <c r="Y73" s="129">
        <v>3</v>
      </c>
      <c r="Z73" s="129"/>
      <c r="AA73" s="130"/>
      <c r="AB73" s="130" t="s">
        <v>1026</v>
      </c>
      <c r="AC73" s="129">
        <v>77371</v>
      </c>
      <c r="AD73" s="130" t="s">
        <v>450</v>
      </c>
      <c r="AE73" s="130"/>
      <c r="AF73" s="583" t="s">
        <v>1027</v>
      </c>
      <c r="AG73" s="130" t="s">
        <v>1028</v>
      </c>
      <c r="AH73" s="64"/>
      <c r="AI73" s="64"/>
      <c r="AJ73" s="130" t="s">
        <v>1029</v>
      </c>
      <c r="AK73" s="272" t="s">
        <v>1002</v>
      </c>
      <c r="AL73" s="225" t="str">
        <f ca="1" t="shared" si="9"/>
        <v>12 Tahun 2 Bulan </v>
      </c>
      <c r="AM73" s="130" t="s">
        <v>92</v>
      </c>
      <c r="AN73" s="129" t="s">
        <v>93</v>
      </c>
      <c r="AO73" s="130" t="s">
        <v>1030</v>
      </c>
      <c r="AP73" s="130" t="s">
        <v>95</v>
      </c>
      <c r="AQ73" s="130" t="s">
        <v>1031</v>
      </c>
      <c r="AR73" s="583" t="s">
        <v>1032</v>
      </c>
      <c r="AS73" s="130" t="s">
        <v>98</v>
      </c>
      <c r="AT73" s="130"/>
      <c r="AU73" s="130" t="s">
        <v>883</v>
      </c>
      <c r="AV73" s="583" t="s">
        <v>156</v>
      </c>
      <c r="AW73" s="129" t="s">
        <v>100</v>
      </c>
      <c r="AX73" s="65" t="s">
        <v>885</v>
      </c>
      <c r="AY73" s="130" t="s">
        <v>1033</v>
      </c>
      <c r="AZ73" s="64"/>
      <c r="BA73" s="64"/>
      <c r="BB73" s="272" t="s">
        <v>346</v>
      </c>
      <c r="BC73" s="64" t="s">
        <v>1034</v>
      </c>
      <c r="BD73" s="63"/>
      <c r="BE73" s="63">
        <v>30</v>
      </c>
      <c r="BF73" s="63">
        <v>30</v>
      </c>
      <c r="BG73" s="39" t="s">
        <v>1035</v>
      </c>
      <c r="BH73" s="313" t="s">
        <v>526</v>
      </c>
      <c r="BI73" s="129" t="s">
        <v>131</v>
      </c>
      <c r="BJ73" s="272" t="s">
        <v>1022</v>
      </c>
      <c r="BK73" s="65">
        <v>1122050609</v>
      </c>
      <c r="BL73" s="355"/>
      <c r="BM73" s="287"/>
      <c r="BN73" s="287"/>
      <c r="BO73" s="287"/>
      <c r="BP73" s="287"/>
      <c r="BQ73" s="287"/>
      <c r="BR73" s="287"/>
      <c r="BS73" s="287"/>
      <c r="BT73" s="287"/>
      <c r="BU73" s="287"/>
      <c r="BV73" s="287"/>
      <c r="BW73" s="287"/>
      <c r="BX73" s="287"/>
      <c r="BY73" s="287"/>
      <c r="BZ73" s="287"/>
      <c r="CA73" s="287"/>
      <c r="CB73" s="287"/>
      <c r="CC73" s="287"/>
      <c r="CD73" s="287"/>
      <c r="CE73" s="287"/>
      <c r="CF73" s="287"/>
      <c r="CG73" s="287"/>
      <c r="CH73" s="287"/>
      <c r="CI73" s="287"/>
      <c r="CJ73" s="287"/>
      <c r="CK73" s="287"/>
      <c r="CL73" s="287"/>
      <c r="CM73" s="287"/>
      <c r="CN73" s="287"/>
      <c r="CO73" s="287"/>
      <c r="CP73" s="287"/>
      <c r="CQ73" s="287"/>
      <c r="CR73" s="287"/>
      <c r="CS73" s="287"/>
      <c r="CT73" s="287"/>
      <c r="CU73" s="287"/>
      <c r="CV73" s="287"/>
      <c r="CW73" s="287"/>
      <c r="CX73" s="287"/>
      <c r="CY73" s="287"/>
      <c r="CZ73" s="287"/>
      <c r="DA73" s="287"/>
      <c r="DB73" s="287"/>
      <c r="DC73" s="287"/>
      <c r="DD73" s="287"/>
      <c r="DE73" s="287"/>
      <c r="DF73" s="287"/>
      <c r="DG73" s="287"/>
      <c r="DH73" s="287"/>
      <c r="DI73" s="287"/>
      <c r="DJ73" s="287"/>
      <c r="DK73" s="287"/>
      <c r="DL73" s="287"/>
      <c r="DM73" s="287"/>
      <c r="DN73" s="287"/>
      <c r="DO73" s="287"/>
      <c r="DP73" s="287"/>
      <c r="DQ73" s="287"/>
      <c r="DR73" s="287"/>
      <c r="DS73" s="287"/>
      <c r="DT73" s="287"/>
      <c r="DU73" s="287"/>
      <c r="DV73" s="287"/>
      <c r="DW73" s="287"/>
      <c r="DX73" s="287"/>
      <c r="DY73" s="287"/>
      <c r="DZ73" s="287"/>
      <c r="EA73" s="287"/>
      <c r="EB73" s="287"/>
      <c r="EC73" s="287"/>
      <c r="ED73" s="287"/>
      <c r="EE73" s="287"/>
      <c r="EF73" s="287"/>
      <c r="EG73" s="287"/>
      <c r="EH73" s="287"/>
      <c r="EI73" s="287"/>
      <c r="EJ73" s="287"/>
      <c r="EK73" s="287"/>
      <c r="EL73" s="287"/>
      <c r="EM73" s="287"/>
      <c r="EN73" s="287"/>
      <c r="EO73" s="287"/>
      <c r="EP73" s="287"/>
      <c r="EQ73" s="287"/>
      <c r="ER73" s="287"/>
      <c r="ES73" s="287"/>
      <c r="ET73" s="287"/>
      <c r="EU73" s="287"/>
      <c r="EV73" s="287"/>
      <c r="EW73" s="287"/>
      <c r="EX73" s="287"/>
      <c r="EY73" s="287"/>
      <c r="EZ73" s="287"/>
      <c r="FA73" s="287"/>
      <c r="FB73" s="287"/>
      <c r="FC73" s="287"/>
      <c r="FD73" s="287"/>
      <c r="FE73" s="287"/>
      <c r="FF73" s="287"/>
      <c r="FG73" s="287"/>
      <c r="FH73" s="287"/>
      <c r="FI73" s="287"/>
      <c r="FJ73" s="287"/>
      <c r="FK73" s="287"/>
      <c r="FL73" s="287"/>
      <c r="FM73" s="287"/>
      <c r="FN73" s="287"/>
      <c r="FO73" s="287"/>
      <c r="FP73" s="287"/>
      <c r="FQ73" s="287"/>
      <c r="FR73" s="287"/>
      <c r="FS73" s="287"/>
      <c r="FT73" s="287"/>
      <c r="FU73" s="287"/>
      <c r="FV73" s="287"/>
      <c r="FW73" s="287"/>
      <c r="FX73" s="287"/>
      <c r="FY73" s="287"/>
      <c r="FZ73" s="287"/>
      <c r="GA73" s="287"/>
      <c r="GB73" s="287"/>
      <c r="GC73" s="287"/>
      <c r="GD73" s="287"/>
      <c r="GE73" s="287"/>
      <c r="GF73" s="287"/>
      <c r="GG73" s="287"/>
      <c r="GH73" s="287"/>
      <c r="GI73" s="287"/>
      <c r="GJ73" s="287"/>
      <c r="GK73" s="287"/>
      <c r="GL73" s="287"/>
      <c r="GM73" s="287"/>
      <c r="GN73" s="287"/>
      <c r="GO73" s="287"/>
      <c r="GP73" s="287"/>
      <c r="GQ73" s="287"/>
      <c r="GR73" s="287"/>
      <c r="GS73" s="287"/>
      <c r="GT73" s="287"/>
      <c r="GU73" s="287"/>
      <c r="GV73" s="287"/>
      <c r="GW73" s="287"/>
      <c r="GX73" s="287"/>
      <c r="GY73" s="287"/>
      <c r="GZ73" s="287"/>
      <c r="HA73" s="287"/>
      <c r="HB73" s="287"/>
      <c r="HC73" s="287"/>
      <c r="HD73" s="287"/>
      <c r="HE73" s="287"/>
      <c r="HF73" s="287"/>
      <c r="HG73" s="287"/>
      <c r="HH73" s="287"/>
      <c r="HI73" s="287"/>
      <c r="HJ73" s="287"/>
      <c r="HK73" s="287"/>
      <c r="HL73" s="287"/>
      <c r="HM73" s="287"/>
      <c r="HN73" s="287"/>
      <c r="HO73" s="287"/>
      <c r="HP73" s="287"/>
      <c r="HQ73" s="287"/>
      <c r="HR73" s="287"/>
      <c r="HS73" s="287"/>
      <c r="HT73" s="287"/>
      <c r="HU73" s="287"/>
      <c r="HV73" s="287"/>
      <c r="HW73" s="287"/>
      <c r="HX73" s="287"/>
      <c r="HY73" s="287"/>
      <c r="HZ73" s="287"/>
      <c r="IA73" s="287"/>
      <c r="IB73" s="287"/>
      <c r="IC73" s="287"/>
      <c r="ID73" s="287"/>
      <c r="IE73" s="287"/>
      <c r="IF73" s="287"/>
      <c r="IG73" s="287"/>
      <c r="IH73" s="287"/>
      <c r="II73" s="287"/>
      <c r="IJ73" s="287"/>
      <c r="IK73" s="287"/>
      <c r="IL73" s="287"/>
      <c r="IM73" s="287"/>
      <c r="IN73" s="287"/>
      <c r="IO73" s="287"/>
      <c r="IP73" s="287"/>
      <c r="IQ73" s="287"/>
      <c r="IR73" s="287"/>
      <c r="IS73" s="287"/>
      <c r="IT73" s="287"/>
      <c r="IU73" s="287"/>
    </row>
    <row r="74" s="40" customFormat="1" ht="24" customHeight="1" spans="1:255">
      <c r="A74" s="54">
        <v>69</v>
      </c>
      <c r="B74" s="63">
        <v>5373</v>
      </c>
      <c r="C74" s="63" t="s">
        <v>658</v>
      </c>
      <c r="D74" s="63" t="s">
        <v>76</v>
      </c>
      <c r="E74" s="63" t="s">
        <v>870</v>
      </c>
      <c r="F74" s="64"/>
      <c r="G74" s="65" t="s">
        <v>1036</v>
      </c>
      <c r="H74" s="66" t="s">
        <v>177</v>
      </c>
      <c r="I74" s="113" t="str">
        <f t="shared" si="14"/>
        <v>Alfida Djawin Nuha, S.Pd</v>
      </c>
      <c r="J74" s="129" t="s">
        <v>80</v>
      </c>
      <c r="K74" s="102" t="str">
        <f t="shared" si="13"/>
        <v>Perempuan</v>
      </c>
      <c r="L74" s="130" t="s">
        <v>240</v>
      </c>
      <c r="M74" s="131">
        <v>32603</v>
      </c>
      <c r="N74" s="132" t="str">
        <f ca="1" t="shared" si="15"/>
        <v>36 Tahun 6 Bulan </v>
      </c>
      <c r="O74" s="133" t="str">
        <f t="shared" si="10"/>
        <v>05 April 1989</v>
      </c>
      <c r="P74" s="63">
        <f ca="1" t="shared" si="7"/>
        <v>36</v>
      </c>
      <c r="Q74" s="63" t="str">
        <f ca="1" t="shared" si="8"/>
        <v>OKE</v>
      </c>
      <c r="R74" s="583" t="s">
        <v>1037</v>
      </c>
      <c r="S74" s="64"/>
      <c r="T74" s="583" t="s">
        <v>156</v>
      </c>
      <c r="U74" s="130" t="s">
        <v>1038</v>
      </c>
      <c r="V74" s="129" t="s">
        <v>290</v>
      </c>
      <c r="W74" s="63" t="s">
        <v>112</v>
      </c>
      <c r="X74" s="130" t="s">
        <v>1039</v>
      </c>
      <c r="Y74" s="129">
        <v>10</v>
      </c>
      <c r="Z74" s="129"/>
      <c r="AA74" s="130"/>
      <c r="AB74" s="130" t="s">
        <v>148</v>
      </c>
      <c r="AC74" s="129">
        <v>77313</v>
      </c>
      <c r="AD74" s="130" t="s">
        <v>131</v>
      </c>
      <c r="AE74" s="130"/>
      <c r="AF74" s="583" t="s">
        <v>1040</v>
      </c>
      <c r="AG74" s="65" t="s">
        <v>1041</v>
      </c>
      <c r="AH74" s="64"/>
      <c r="AI74" s="64"/>
      <c r="AJ74" s="64" t="s">
        <v>1042</v>
      </c>
      <c r="AK74" s="584" t="s">
        <v>1043</v>
      </c>
      <c r="AL74" s="225" t="str">
        <f ca="1" t="shared" si="9"/>
        <v>12 Tahun 2 Bulan </v>
      </c>
      <c r="AM74" s="130" t="s">
        <v>92</v>
      </c>
      <c r="AN74" s="129" t="s">
        <v>93</v>
      </c>
      <c r="AO74" s="65" t="s">
        <v>1044</v>
      </c>
      <c r="AP74" s="130" t="s">
        <v>95</v>
      </c>
      <c r="AQ74" s="130" t="s">
        <v>1045</v>
      </c>
      <c r="AR74" s="130"/>
      <c r="AS74" s="130" t="s">
        <v>188</v>
      </c>
      <c r="AT74" s="130"/>
      <c r="AU74" s="130" t="s">
        <v>883</v>
      </c>
      <c r="AV74" s="583" t="s">
        <v>156</v>
      </c>
      <c r="AW74" s="129" t="s">
        <v>100</v>
      </c>
      <c r="AX74" s="65" t="s">
        <v>885</v>
      </c>
      <c r="AY74" s="130" t="s">
        <v>1046</v>
      </c>
      <c r="AZ74" s="64"/>
      <c r="BA74" s="64"/>
      <c r="BB74" s="272" t="s">
        <v>346</v>
      </c>
      <c r="BC74" s="64" t="s">
        <v>1047</v>
      </c>
      <c r="BD74" s="63"/>
      <c r="BE74" s="63">
        <v>28</v>
      </c>
      <c r="BF74" s="63">
        <v>28</v>
      </c>
      <c r="BG74" s="39" t="s">
        <v>1048</v>
      </c>
      <c r="BH74" s="313" t="s">
        <v>526</v>
      </c>
      <c r="BI74" s="129" t="s">
        <v>131</v>
      </c>
      <c r="BJ74" s="423" t="s">
        <v>1036</v>
      </c>
      <c r="BK74" s="130">
        <v>1122050625</v>
      </c>
      <c r="BL74" s="355"/>
      <c r="BM74" s="287"/>
      <c r="BN74" s="287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  <c r="CA74" s="287"/>
      <c r="CB74" s="287"/>
      <c r="CC74" s="287"/>
      <c r="CD74" s="287"/>
      <c r="CE74" s="287"/>
      <c r="CF74" s="287"/>
      <c r="CG74" s="287"/>
      <c r="CH74" s="287"/>
      <c r="CI74" s="287"/>
      <c r="CJ74" s="287"/>
      <c r="CK74" s="287"/>
      <c r="CL74" s="287"/>
      <c r="CM74" s="287"/>
      <c r="CN74" s="287"/>
      <c r="CO74" s="287"/>
      <c r="CP74" s="287"/>
      <c r="CQ74" s="287"/>
      <c r="CR74" s="287"/>
      <c r="CS74" s="287"/>
      <c r="CT74" s="287"/>
      <c r="CU74" s="287"/>
      <c r="CV74" s="287"/>
      <c r="CW74" s="287"/>
      <c r="CX74" s="287"/>
      <c r="CY74" s="287"/>
      <c r="CZ74" s="287"/>
      <c r="DA74" s="287"/>
      <c r="DB74" s="287"/>
      <c r="DC74" s="287"/>
      <c r="DD74" s="287"/>
      <c r="DE74" s="287"/>
      <c r="DF74" s="287"/>
      <c r="DG74" s="287"/>
      <c r="DH74" s="287"/>
      <c r="DI74" s="287"/>
      <c r="DJ74" s="287"/>
      <c r="DK74" s="287"/>
      <c r="DL74" s="287"/>
      <c r="DM74" s="287"/>
      <c r="DN74" s="287"/>
      <c r="DO74" s="287"/>
      <c r="DP74" s="287"/>
      <c r="DQ74" s="287"/>
      <c r="DR74" s="287"/>
      <c r="DS74" s="287"/>
      <c r="DT74" s="287"/>
      <c r="DU74" s="287"/>
      <c r="DV74" s="287"/>
      <c r="DW74" s="287"/>
      <c r="DX74" s="287"/>
      <c r="DY74" s="287"/>
      <c r="DZ74" s="287"/>
      <c r="EA74" s="287"/>
      <c r="EB74" s="287"/>
      <c r="EC74" s="287"/>
      <c r="ED74" s="287"/>
      <c r="EE74" s="287"/>
      <c r="EF74" s="287"/>
      <c r="EG74" s="287"/>
      <c r="EH74" s="287"/>
      <c r="EI74" s="287"/>
      <c r="EJ74" s="287"/>
      <c r="EK74" s="287"/>
      <c r="EL74" s="287"/>
      <c r="EM74" s="287"/>
      <c r="EN74" s="287"/>
      <c r="EO74" s="287"/>
      <c r="EP74" s="287"/>
      <c r="EQ74" s="287"/>
      <c r="ER74" s="287"/>
      <c r="ES74" s="287"/>
      <c r="ET74" s="287"/>
      <c r="EU74" s="287"/>
      <c r="EV74" s="287"/>
      <c r="EW74" s="287"/>
      <c r="EX74" s="287"/>
      <c r="EY74" s="287"/>
      <c r="EZ74" s="287"/>
      <c r="FA74" s="287"/>
      <c r="FB74" s="287"/>
      <c r="FC74" s="287"/>
      <c r="FD74" s="287"/>
      <c r="FE74" s="287"/>
      <c r="FF74" s="287"/>
      <c r="FG74" s="287"/>
      <c r="FH74" s="287"/>
      <c r="FI74" s="287"/>
      <c r="FJ74" s="287"/>
      <c r="FK74" s="287"/>
      <c r="FL74" s="287"/>
      <c r="FM74" s="287"/>
      <c r="FN74" s="287"/>
      <c r="FO74" s="287"/>
      <c r="FP74" s="287"/>
      <c r="FQ74" s="287"/>
      <c r="FR74" s="287"/>
      <c r="FS74" s="287"/>
      <c r="FT74" s="287"/>
      <c r="FU74" s="287"/>
      <c r="FV74" s="287"/>
      <c r="FW74" s="287"/>
      <c r="FX74" s="287"/>
      <c r="FY74" s="287"/>
      <c r="FZ74" s="287"/>
      <c r="GA74" s="287"/>
      <c r="GB74" s="287"/>
      <c r="GC74" s="287"/>
      <c r="GD74" s="287"/>
      <c r="GE74" s="287"/>
      <c r="GF74" s="287"/>
      <c r="GG74" s="287"/>
      <c r="GH74" s="287"/>
      <c r="GI74" s="287"/>
      <c r="GJ74" s="287"/>
      <c r="GK74" s="287"/>
      <c r="GL74" s="287"/>
      <c r="GM74" s="287"/>
      <c r="GN74" s="287"/>
      <c r="GO74" s="287"/>
      <c r="GP74" s="287"/>
      <c r="GQ74" s="287"/>
      <c r="GR74" s="287"/>
      <c r="GS74" s="287"/>
      <c r="GT74" s="287"/>
      <c r="GU74" s="287"/>
      <c r="GV74" s="287"/>
      <c r="GW74" s="287"/>
      <c r="GX74" s="287"/>
      <c r="GY74" s="287"/>
      <c r="GZ74" s="287"/>
      <c r="HA74" s="287"/>
      <c r="HB74" s="287"/>
      <c r="HC74" s="287"/>
      <c r="HD74" s="287"/>
      <c r="HE74" s="287"/>
      <c r="HF74" s="287"/>
      <c r="HG74" s="287"/>
      <c r="HH74" s="287"/>
      <c r="HI74" s="287"/>
      <c r="HJ74" s="287"/>
      <c r="HK74" s="287"/>
      <c r="HL74" s="287"/>
      <c r="HM74" s="287"/>
      <c r="HN74" s="287"/>
      <c r="HO74" s="287"/>
      <c r="HP74" s="287"/>
      <c r="HQ74" s="287"/>
      <c r="HR74" s="287"/>
      <c r="HS74" s="287"/>
      <c r="HT74" s="287"/>
      <c r="HU74" s="287"/>
      <c r="HV74" s="287"/>
      <c r="HW74" s="287"/>
      <c r="HX74" s="287"/>
      <c r="HY74" s="287"/>
      <c r="HZ74" s="287"/>
      <c r="IA74" s="287"/>
      <c r="IB74" s="287"/>
      <c r="IC74" s="287"/>
      <c r="ID74" s="287"/>
      <c r="IE74" s="287"/>
      <c r="IF74" s="287"/>
      <c r="IG74" s="287"/>
      <c r="IH74" s="287"/>
      <c r="II74" s="287"/>
      <c r="IJ74" s="287"/>
      <c r="IK74" s="287"/>
      <c r="IL74" s="287"/>
      <c r="IM74" s="287"/>
      <c r="IN74" s="287"/>
      <c r="IO74" s="287"/>
      <c r="IP74" s="287"/>
      <c r="IQ74" s="287"/>
      <c r="IR74" s="287"/>
      <c r="IS74" s="287"/>
      <c r="IT74" s="287"/>
      <c r="IU74" s="287"/>
    </row>
    <row r="75" s="40" customFormat="1" ht="20.25" customHeight="1" spans="1:255">
      <c r="A75" s="54">
        <v>70</v>
      </c>
      <c r="B75" s="69">
        <v>2753</v>
      </c>
      <c r="C75" s="69" t="s">
        <v>658</v>
      </c>
      <c r="D75" s="69" t="s">
        <v>76</v>
      </c>
      <c r="E75" s="69" t="s">
        <v>870</v>
      </c>
      <c r="F75" s="70"/>
      <c r="G75" s="71" t="s">
        <v>1049</v>
      </c>
      <c r="H75" s="72" t="s">
        <v>177</v>
      </c>
      <c r="I75" s="113" t="str">
        <f t="shared" si="14"/>
        <v>Paisal Rusanda, S.Pd</v>
      </c>
      <c r="J75" s="134" t="s">
        <v>127</v>
      </c>
      <c r="K75" s="102" t="str">
        <f t="shared" si="13"/>
        <v>Laki-laki</v>
      </c>
      <c r="L75" s="178" t="s">
        <v>919</v>
      </c>
      <c r="M75" s="131">
        <v>31426</v>
      </c>
      <c r="N75" s="135" t="str">
        <f ca="1" t="shared" ref="N75" si="16">+DATEDIF(M75,NOW(),"Y")&amp;" Tahun "&amp;+DATEDIF(M75,NOW(),"YM")&amp;" Bulan "</f>
        <v>39 Tahun 9 Bulan </v>
      </c>
      <c r="O75" s="136" t="str">
        <f t="shared" ref="O75" si="17">TEXT(M75,"DD MMMM YYYY")</f>
        <v>14 January 1986</v>
      </c>
      <c r="P75" s="69">
        <f ca="1" t="shared" ref="P75" si="18">+DATEDIF(O75,NOW(),"Y")</f>
        <v>39</v>
      </c>
      <c r="Q75" s="69" t="str">
        <f ca="1" t="shared" ref="Q75" si="19">IF(P75&gt;56,"Lewat","OKE")</f>
        <v>OKE</v>
      </c>
      <c r="R75" s="588" t="s">
        <v>1050</v>
      </c>
      <c r="S75" s="70"/>
      <c r="T75" s="589" t="s">
        <v>156</v>
      </c>
      <c r="U75" s="65" t="s">
        <v>83</v>
      </c>
      <c r="V75" s="129" t="s">
        <v>290</v>
      </c>
      <c r="W75" s="69" t="s">
        <v>112</v>
      </c>
      <c r="X75" s="70" t="s">
        <v>1051</v>
      </c>
      <c r="Y75" s="69">
        <v>3</v>
      </c>
      <c r="Z75" s="70"/>
      <c r="AA75" s="70"/>
      <c r="AB75" s="71" t="s">
        <v>1052</v>
      </c>
      <c r="AC75" s="69">
        <v>77375</v>
      </c>
      <c r="AD75" s="71" t="s">
        <v>1053</v>
      </c>
      <c r="AE75" s="69"/>
      <c r="AF75" s="588" t="s">
        <v>1054</v>
      </c>
      <c r="AG75" s="399" t="s">
        <v>1055</v>
      </c>
      <c r="AH75" s="70"/>
      <c r="AI75" s="70"/>
      <c r="AJ75" s="71" t="s">
        <v>765</v>
      </c>
      <c r="AK75" s="590" t="s">
        <v>1056</v>
      </c>
      <c r="AL75" s="225" t="str">
        <f ca="1" t="shared" si="9"/>
        <v>11 Tahun 10 Bulan </v>
      </c>
      <c r="AM75" s="178" t="s">
        <v>880</v>
      </c>
      <c r="AN75" s="129" t="s">
        <v>93</v>
      </c>
      <c r="AO75" s="71" t="s">
        <v>1057</v>
      </c>
      <c r="AP75" s="178" t="s">
        <v>95</v>
      </c>
      <c r="AQ75" s="71" t="s">
        <v>1058</v>
      </c>
      <c r="AR75" s="70"/>
      <c r="AS75" s="71" t="s">
        <v>986</v>
      </c>
      <c r="AT75" s="70"/>
      <c r="AU75" s="178" t="s">
        <v>883</v>
      </c>
      <c r="AV75" s="591" t="s">
        <v>156</v>
      </c>
      <c r="AW75" s="134" t="s">
        <v>100</v>
      </c>
      <c r="AX75" s="65" t="s">
        <v>885</v>
      </c>
      <c r="AY75" s="178" t="s">
        <v>431</v>
      </c>
      <c r="AZ75" s="70"/>
      <c r="BA75" s="70"/>
      <c r="BB75" s="272" t="s">
        <v>346</v>
      </c>
      <c r="BC75" s="64" t="s">
        <v>1059</v>
      </c>
      <c r="BD75" s="63"/>
      <c r="BE75" s="63">
        <v>24</v>
      </c>
      <c r="BF75" s="63">
        <f t="shared" ref="BF75" si="20">BE75</f>
        <v>24</v>
      </c>
      <c r="BG75" s="39" t="s">
        <v>431</v>
      </c>
      <c r="BH75" s="313" t="s">
        <v>526</v>
      </c>
      <c r="BI75" s="134" t="s">
        <v>1060</v>
      </c>
      <c r="BJ75" s="71" t="s">
        <v>1049</v>
      </c>
      <c r="BK75" s="70">
        <v>1192032705</v>
      </c>
      <c r="BL75" s="355"/>
      <c r="BM75" s="287"/>
      <c r="BN75" s="287"/>
      <c r="BO75" s="287"/>
      <c r="BP75" s="287"/>
      <c r="BQ75" s="287"/>
      <c r="BR75" s="287"/>
      <c r="BS75" s="287"/>
      <c r="BT75" s="287"/>
      <c r="BU75" s="287"/>
      <c r="BV75" s="287"/>
      <c r="BW75" s="287"/>
      <c r="BX75" s="287"/>
      <c r="BY75" s="287"/>
      <c r="BZ75" s="287"/>
      <c r="CA75" s="287"/>
      <c r="CB75" s="287"/>
      <c r="CC75" s="287"/>
      <c r="CD75" s="287"/>
      <c r="CE75" s="287"/>
      <c r="CF75" s="287"/>
      <c r="CG75" s="287"/>
      <c r="CH75" s="287"/>
      <c r="CI75" s="287"/>
      <c r="CJ75" s="287"/>
      <c r="CK75" s="287"/>
      <c r="CL75" s="287"/>
      <c r="CM75" s="287"/>
      <c r="CN75" s="287"/>
      <c r="CO75" s="287"/>
      <c r="CP75" s="287"/>
      <c r="CQ75" s="287"/>
      <c r="CR75" s="287"/>
      <c r="CS75" s="287"/>
      <c r="CT75" s="287"/>
      <c r="CU75" s="287"/>
      <c r="CV75" s="287"/>
      <c r="CW75" s="287"/>
      <c r="CX75" s="287"/>
      <c r="CY75" s="287"/>
      <c r="CZ75" s="287"/>
      <c r="DA75" s="287"/>
      <c r="DB75" s="287"/>
      <c r="DC75" s="287"/>
      <c r="DD75" s="287"/>
      <c r="DE75" s="287"/>
      <c r="DF75" s="287"/>
      <c r="DG75" s="287"/>
      <c r="DH75" s="287"/>
      <c r="DI75" s="287"/>
      <c r="DJ75" s="287"/>
      <c r="DK75" s="287"/>
      <c r="DL75" s="287"/>
      <c r="DM75" s="287"/>
      <c r="DN75" s="287"/>
      <c r="DO75" s="287"/>
      <c r="DP75" s="287"/>
      <c r="DQ75" s="287"/>
      <c r="DR75" s="287"/>
      <c r="DS75" s="287"/>
      <c r="DT75" s="287"/>
      <c r="DU75" s="287"/>
      <c r="DV75" s="287"/>
      <c r="DW75" s="287"/>
      <c r="DX75" s="287"/>
      <c r="DY75" s="287"/>
      <c r="DZ75" s="287"/>
      <c r="EA75" s="287"/>
      <c r="EB75" s="287"/>
      <c r="EC75" s="287"/>
      <c r="ED75" s="287"/>
      <c r="EE75" s="287"/>
      <c r="EF75" s="287"/>
      <c r="EG75" s="287"/>
      <c r="EH75" s="287"/>
      <c r="EI75" s="287"/>
      <c r="EJ75" s="287"/>
      <c r="EK75" s="287"/>
      <c r="EL75" s="287"/>
      <c r="EM75" s="287"/>
      <c r="EN75" s="287"/>
      <c r="EO75" s="287"/>
      <c r="EP75" s="287"/>
      <c r="EQ75" s="287"/>
      <c r="ER75" s="287"/>
      <c r="ES75" s="287"/>
      <c r="ET75" s="287"/>
      <c r="EU75" s="287"/>
      <c r="EV75" s="287"/>
      <c r="EW75" s="287"/>
      <c r="EX75" s="287"/>
      <c r="EY75" s="287"/>
      <c r="EZ75" s="287"/>
      <c r="FA75" s="287"/>
      <c r="FB75" s="287"/>
      <c r="FC75" s="287"/>
      <c r="FD75" s="287"/>
      <c r="FE75" s="287"/>
      <c r="FF75" s="287"/>
      <c r="FG75" s="287"/>
      <c r="FH75" s="287"/>
      <c r="FI75" s="287"/>
      <c r="FJ75" s="287"/>
      <c r="FK75" s="287"/>
      <c r="FL75" s="287"/>
      <c r="FM75" s="287"/>
      <c r="FN75" s="287"/>
      <c r="FO75" s="287"/>
      <c r="FP75" s="287"/>
      <c r="FQ75" s="287"/>
      <c r="FR75" s="287"/>
      <c r="FS75" s="287"/>
      <c r="FT75" s="287"/>
      <c r="FU75" s="287"/>
      <c r="FV75" s="287"/>
      <c r="FW75" s="287"/>
      <c r="FX75" s="287"/>
      <c r="FY75" s="287"/>
      <c r="FZ75" s="287"/>
      <c r="GA75" s="287"/>
      <c r="GB75" s="287"/>
      <c r="GC75" s="287"/>
      <c r="GD75" s="287"/>
      <c r="GE75" s="287"/>
      <c r="GF75" s="287"/>
      <c r="GG75" s="287"/>
      <c r="GH75" s="287"/>
      <c r="GI75" s="287"/>
      <c r="GJ75" s="287"/>
      <c r="GK75" s="287"/>
      <c r="GL75" s="287"/>
      <c r="GM75" s="287"/>
      <c r="GN75" s="287"/>
      <c r="GO75" s="287"/>
      <c r="GP75" s="287"/>
      <c r="GQ75" s="287"/>
      <c r="GR75" s="287"/>
      <c r="GS75" s="287"/>
      <c r="GT75" s="287"/>
      <c r="GU75" s="287"/>
      <c r="GV75" s="287"/>
      <c r="GW75" s="287"/>
      <c r="GX75" s="287"/>
      <c r="GY75" s="287"/>
      <c r="GZ75" s="287"/>
      <c r="HA75" s="287"/>
      <c r="HB75" s="287"/>
      <c r="HC75" s="287"/>
      <c r="HD75" s="287"/>
      <c r="HE75" s="287"/>
      <c r="HF75" s="287"/>
      <c r="HG75" s="287"/>
      <c r="HH75" s="287"/>
      <c r="HI75" s="287"/>
      <c r="HJ75" s="287"/>
      <c r="HK75" s="287"/>
      <c r="HL75" s="287"/>
      <c r="HM75" s="287"/>
      <c r="HN75" s="287"/>
      <c r="HO75" s="287"/>
      <c r="HP75" s="287"/>
      <c r="HQ75" s="287"/>
      <c r="HR75" s="287"/>
      <c r="HS75" s="287"/>
      <c r="HT75" s="287"/>
      <c r="HU75" s="287"/>
      <c r="HV75" s="287"/>
      <c r="HW75" s="287"/>
      <c r="HX75" s="287"/>
      <c r="HY75" s="287"/>
      <c r="HZ75" s="287"/>
      <c r="IA75" s="287"/>
      <c r="IB75" s="287"/>
      <c r="IC75" s="287"/>
      <c r="ID75" s="287"/>
      <c r="IE75" s="287"/>
      <c r="IF75" s="287"/>
      <c r="IG75" s="287"/>
      <c r="IH75" s="287"/>
      <c r="II75" s="287"/>
      <c r="IJ75" s="287"/>
      <c r="IK75" s="287"/>
      <c r="IL75" s="287"/>
      <c r="IM75" s="287"/>
      <c r="IN75" s="287"/>
      <c r="IO75" s="287"/>
      <c r="IP75" s="287"/>
      <c r="IQ75" s="287"/>
      <c r="IR75" s="287"/>
      <c r="IS75" s="287"/>
      <c r="IT75" s="287"/>
      <c r="IU75" s="287"/>
    </row>
    <row r="76" s="40" customFormat="1" ht="24" customHeight="1" spans="1:255">
      <c r="A76" s="54">
        <v>71</v>
      </c>
      <c r="B76" s="358">
        <v>2685</v>
      </c>
      <c r="C76" s="358" t="s">
        <v>658</v>
      </c>
      <c r="D76" s="358" t="s">
        <v>76</v>
      </c>
      <c r="E76" s="358" t="s">
        <v>870</v>
      </c>
      <c r="F76" s="359"/>
      <c r="G76" s="360" t="s">
        <v>1061</v>
      </c>
      <c r="H76" s="361" t="s">
        <v>1062</v>
      </c>
      <c r="I76" s="113" t="str">
        <f t="shared" si="14"/>
        <v>Erna Rusdawati, SP</v>
      </c>
      <c r="J76" s="361" t="s">
        <v>80</v>
      </c>
      <c r="K76" s="102" t="str">
        <f t="shared" si="13"/>
        <v>Perempuan</v>
      </c>
      <c r="L76" s="365" t="s">
        <v>1063</v>
      </c>
      <c r="M76" s="366">
        <v>32033</v>
      </c>
      <c r="N76" s="367" t="str">
        <f ca="1" t="shared" si="15"/>
        <v>38 Tahun 1 Bulan </v>
      </c>
      <c r="O76" s="368" t="str">
        <f t="shared" si="10"/>
        <v>13 September 1987</v>
      </c>
      <c r="P76" s="358">
        <f ca="1" t="shared" si="7"/>
        <v>38</v>
      </c>
      <c r="Q76" s="358" t="str">
        <f ca="1" t="shared" si="8"/>
        <v>OKE</v>
      </c>
      <c r="R76" s="592" t="s">
        <v>1064</v>
      </c>
      <c r="S76" s="359"/>
      <c r="T76" s="592" t="s">
        <v>1065</v>
      </c>
      <c r="U76" s="365" t="s">
        <v>129</v>
      </c>
      <c r="V76" s="129" t="s">
        <v>290</v>
      </c>
      <c r="W76" s="358" t="s">
        <v>112</v>
      </c>
      <c r="X76" s="365" t="s">
        <v>1066</v>
      </c>
      <c r="Y76" s="361">
        <v>19</v>
      </c>
      <c r="Z76" s="361"/>
      <c r="AA76" s="365"/>
      <c r="AB76" s="365" t="s">
        <v>87</v>
      </c>
      <c r="AC76" s="361">
        <v>77312</v>
      </c>
      <c r="AD76" s="365" t="s">
        <v>88</v>
      </c>
      <c r="AE76" s="365"/>
      <c r="AF76" s="592" t="s">
        <v>1067</v>
      </c>
      <c r="AG76" s="365" t="s">
        <v>1068</v>
      </c>
      <c r="AH76" s="359"/>
      <c r="AI76" s="359"/>
      <c r="AJ76" s="365" t="s">
        <v>1069</v>
      </c>
      <c r="AK76" s="593" t="s">
        <v>879</v>
      </c>
      <c r="AL76" s="225" t="str">
        <f ca="1" t="shared" si="9"/>
        <v>17 Tahun 4 Bulan </v>
      </c>
      <c r="AM76" s="365" t="s">
        <v>880</v>
      </c>
      <c r="AN76" s="129" t="s">
        <v>93</v>
      </c>
      <c r="AO76" s="365" t="s">
        <v>1070</v>
      </c>
      <c r="AP76" s="365" t="s">
        <v>95</v>
      </c>
      <c r="AQ76" s="365" t="s">
        <v>1071</v>
      </c>
      <c r="AR76" s="365"/>
      <c r="AS76" s="365" t="s">
        <v>188</v>
      </c>
      <c r="AT76" s="365"/>
      <c r="AU76" s="365" t="s">
        <v>883</v>
      </c>
      <c r="AV76" s="365" t="s">
        <v>1072</v>
      </c>
      <c r="AW76" s="361" t="s">
        <v>100</v>
      </c>
      <c r="AX76" s="65" t="s">
        <v>885</v>
      </c>
      <c r="AY76" s="365" t="s">
        <v>1073</v>
      </c>
      <c r="AZ76" s="359"/>
      <c r="BA76" s="359"/>
      <c r="BB76" s="68"/>
      <c r="BC76" s="64"/>
      <c r="BD76" s="63"/>
      <c r="BE76" s="358"/>
      <c r="BF76" s="358"/>
      <c r="BG76" s="358"/>
      <c r="BH76" s="313" t="s">
        <v>526</v>
      </c>
      <c r="BI76" s="361" t="s">
        <v>131</v>
      </c>
      <c r="BJ76" s="424" t="s">
        <v>1061</v>
      </c>
      <c r="BK76" s="360">
        <v>1122050579</v>
      </c>
      <c r="BL76" s="355"/>
      <c r="BM76" s="287"/>
      <c r="BN76" s="287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  <c r="CB76" s="287"/>
      <c r="CC76" s="287"/>
      <c r="CD76" s="287"/>
      <c r="CE76" s="287"/>
      <c r="CF76" s="287"/>
      <c r="CG76" s="287"/>
      <c r="CH76" s="287"/>
      <c r="CI76" s="287"/>
      <c r="CJ76" s="287"/>
      <c r="CK76" s="287"/>
      <c r="CL76" s="287"/>
      <c r="CM76" s="287"/>
      <c r="CN76" s="287"/>
      <c r="CO76" s="287"/>
      <c r="CP76" s="287"/>
      <c r="CQ76" s="287"/>
      <c r="CR76" s="287"/>
      <c r="CS76" s="287"/>
      <c r="CT76" s="287"/>
      <c r="CU76" s="287"/>
      <c r="CV76" s="287"/>
      <c r="CW76" s="287"/>
      <c r="CX76" s="287"/>
      <c r="CY76" s="287"/>
      <c r="CZ76" s="287"/>
      <c r="DA76" s="287"/>
      <c r="DB76" s="287"/>
      <c r="DC76" s="287"/>
      <c r="DD76" s="287"/>
      <c r="DE76" s="287"/>
      <c r="DF76" s="287"/>
      <c r="DG76" s="287"/>
      <c r="DH76" s="287"/>
      <c r="DI76" s="287"/>
      <c r="DJ76" s="287"/>
      <c r="DK76" s="287"/>
      <c r="DL76" s="287"/>
      <c r="DM76" s="287"/>
      <c r="DN76" s="287"/>
      <c r="DO76" s="287"/>
      <c r="DP76" s="287"/>
      <c r="DQ76" s="287"/>
      <c r="DR76" s="287"/>
      <c r="DS76" s="287"/>
      <c r="DT76" s="287"/>
      <c r="DU76" s="287"/>
      <c r="DV76" s="287"/>
      <c r="DW76" s="287"/>
      <c r="DX76" s="287"/>
      <c r="DY76" s="287"/>
      <c r="DZ76" s="287"/>
      <c r="EA76" s="287"/>
      <c r="EB76" s="287"/>
      <c r="EC76" s="287"/>
      <c r="ED76" s="287"/>
      <c r="EE76" s="287"/>
      <c r="EF76" s="287"/>
      <c r="EG76" s="287"/>
      <c r="EH76" s="287"/>
      <c r="EI76" s="287"/>
      <c r="EJ76" s="287"/>
      <c r="EK76" s="287"/>
      <c r="EL76" s="287"/>
      <c r="EM76" s="287"/>
      <c r="EN76" s="287"/>
      <c r="EO76" s="287"/>
      <c r="EP76" s="287"/>
      <c r="EQ76" s="287"/>
      <c r="ER76" s="287"/>
      <c r="ES76" s="287"/>
      <c r="ET76" s="287"/>
      <c r="EU76" s="287"/>
      <c r="EV76" s="287"/>
      <c r="EW76" s="287"/>
      <c r="EX76" s="287"/>
      <c r="EY76" s="287"/>
      <c r="EZ76" s="287"/>
      <c r="FA76" s="287"/>
      <c r="FB76" s="287"/>
      <c r="FC76" s="287"/>
      <c r="FD76" s="287"/>
      <c r="FE76" s="287"/>
      <c r="FF76" s="287"/>
      <c r="FG76" s="287"/>
      <c r="FH76" s="287"/>
      <c r="FI76" s="287"/>
      <c r="FJ76" s="287"/>
      <c r="FK76" s="287"/>
      <c r="FL76" s="287"/>
      <c r="FM76" s="287"/>
      <c r="FN76" s="287"/>
      <c r="FO76" s="287"/>
      <c r="FP76" s="287"/>
      <c r="FQ76" s="287"/>
      <c r="FR76" s="287"/>
      <c r="FS76" s="287"/>
      <c r="FT76" s="287"/>
      <c r="FU76" s="287"/>
      <c r="FV76" s="287"/>
      <c r="FW76" s="287"/>
      <c r="FX76" s="287"/>
      <c r="FY76" s="287"/>
      <c r="FZ76" s="287"/>
      <c r="GA76" s="287"/>
      <c r="GB76" s="287"/>
      <c r="GC76" s="287"/>
      <c r="GD76" s="287"/>
      <c r="GE76" s="287"/>
      <c r="GF76" s="287"/>
      <c r="GG76" s="287"/>
      <c r="GH76" s="287"/>
      <c r="GI76" s="287"/>
      <c r="GJ76" s="287"/>
      <c r="GK76" s="287"/>
      <c r="GL76" s="287"/>
      <c r="GM76" s="287"/>
      <c r="GN76" s="287"/>
      <c r="GO76" s="287"/>
      <c r="GP76" s="287"/>
      <c r="GQ76" s="287"/>
      <c r="GR76" s="287"/>
      <c r="GS76" s="287"/>
      <c r="GT76" s="287"/>
      <c r="GU76" s="287"/>
      <c r="GV76" s="287"/>
      <c r="GW76" s="287"/>
      <c r="GX76" s="287"/>
      <c r="GY76" s="287"/>
      <c r="GZ76" s="287"/>
      <c r="HA76" s="287"/>
      <c r="HB76" s="287"/>
      <c r="HC76" s="287"/>
      <c r="HD76" s="287"/>
      <c r="HE76" s="287"/>
      <c r="HF76" s="287"/>
      <c r="HG76" s="287"/>
      <c r="HH76" s="287"/>
      <c r="HI76" s="287"/>
      <c r="HJ76" s="287"/>
      <c r="HK76" s="287"/>
      <c r="HL76" s="287"/>
      <c r="HM76" s="287"/>
      <c r="HN76" s="287"/>
      <c r="HO76" s="287"/>
      <c r="HP76" s="287"/>
      <c r="HQ76" s="287"/>
      <c r="HR76" s="287"/>
      <c r="HS76" s="287"/>
      <c r="HT76" s="287"/>
      <c r="HU76" s="287"/>
      <c r="HV76" s="287"/>
      <c r="HW76" s="287"/>
      <c r="HX76" s="287"/>
      <c r="HY76" s="287"/>
      <c r="HZ76" s="287"/>
      <c r="IA76" s="287"/>
      <c r="IB76" s="287"/>
      <c r="IC76" s="287"/>
      <c r="ID76" s="287"/>
      <c r="IE76" s="287"/>
      <c r="IF76" s="287"/>
      <c r="IG76" s="287"/>
      <c r="IH76" s="287"/>
      <c r="II76" s="287"/>
      <c r="IJ76" s="287"/>
      <c r="IK76" s="287"/>
      <c r="IL76" s="287"/>
      <c r="IM76" s="287"/>
      <c r="IN76" s="287"/>
      <c r="IO76" s="287"/>
      <c r="IP76" s="287"/>
      <c r="IQ76" s="287"/>
      <c r="IR76" s="287"/>
      <c r="IS76" s="287"/>
      <c r="IT76" s="287"/>
      <c r="IU76" s="287"/>
    </row>
    <row r="77" s="40" customFormat="1" ht="24" customHeight="1" spans="1:255">
      <c r="A77" s="54">
        <v>72</v>
      </c>
      <c r="B77" s="63">
        <v>2686</v>
      </c>
      <c r="C77" s="63" t="s">
        <v>658</v>
      </c>
      <c r="D77" s="63" t="s">
        <v>76</v>
      </c>
      <c r="E77" s="63" t="s">
        <v>870</v>
      </c>
      <c r="F77" s="64"/>
      <c r="G77" s="65" t="s">
        <v>1074</v>
      </c>
      <c r="H77" s="66"/>
      <c r="I77" s="113" t="str">
        <f t="shared" si="14"/>
        <v>Surati</v>
      </c>
      <c r="J77" s="129" t="s">
        <v>80</v>
      </c>
      <c r="K77" s="102" t="str">
        <f t="shared" si="13"/>
        <v>Perempuan</v>
      </c>
      <c r="L77" s="130" t="s">
        <v>1075</v>
      </c>
      <c r="M77" s="131">
        <v>30245</v>
      </c>
      <c r="N77" s="132" t="str">
        <f ca="1" t="shared" si="15"/>
        <v>43 Tahun 0 Bulan </v>
      </c>
      <c r="O77" s="133" t="str">
        <f t="shared" si="10"/>
        <v>21 October 1982</v>
      </c>
      <c r="P77" s="63">
        <f ca="1" t="shared" si="7"/>
        <v>43</v>
      </c>
      <c r="Q77" s="63" t="str">
        <f ca="1" t="shared" si="8"/>
        <v>OKE</v>
      </c>
      <c r="R77" s="583" t="s">
        <v>1076</v>
      </c>
      <c r="S77" s="64"/>
      <c r="T77" s="583" t="s">
        <v>1077</v>
      </c>
      <c r="U77" s="130" t="s">
        <v>129</v>
      </c>
      <c r="V77" s="129" t="s">
        <v>290</v>
      </c>
      <c r="W77" s="63" t="s">
        <v>112</v>
      </c>
      <c r="X77" s="130" t="s">
        <v>1078</v>
      </c>
      <c r="Y77" s="129">
        <v>1</v>
      </c>
      <c r="Z77" s="129"/>
      <c r="AA77" s="130"/>
      <c r="AB77" s="130" t="s">
        <v>131</v>
      </c>
      <c r="AC77" s="129">
        <v>77315</v>
      </c>
      <c r="AD77" s="130" t="s">
        <v>131</v>
      </c>
      <c r="AE77" s="130"/>
      <c r="AF77" s="583" t="s">
        <v>1079</v>
      </c>
      <c r="AG77" s="130" t="s">
        <v>1080</v>
      </c>
      <c r="AH77" s="64"/>
      <c r="AI77" s="64"/>
      <c r="AJ77" s="130" t="s">
        <v>1081</v>
      </c>
      <c r="AK77" s="584" t="s">
        <v>1082</v>
      </c>
      <c r="AL77" s="225" t="str">
        <f ca="1" t="shared" si="9"/>
        <v>16 Tahun 10 Bulan </v>
      </c>
      <c r="AM77" s="130" t="s">
        <v>880</v>
      </c>
      <c r="AN77" s="129" t="s">
        <v>93</v>
      </c>
      <c r="AO77" s="65" t="s">
        <v>1083</v>
      </c>
      <c r="AP77" s="130" t="s">
        <v>95</v>
      </c>
      <c r="AQ77" s="130" t="s">
        <v>1084</v>
      </c>
      <c r="AR77" s="130"/>
      <c r="AS77" s="130" t="s">
        <v>188</v>
      </c>
      <c r="AT77" s="130"/>
      <c r="AU77" s="130" t="s">
        <v>883</v>
      </c>
      <c r="AV77" s="583" t="s">
        <v>1085</v>
      </c>
      <c r="AW77" s="129" t="s">
        <v>100</v>
      </c>
      <c r="AX77" s="65" t="s">
        <v>120</v>
      </c>
      <c r="AY77" s="130" t="s">
        <v>1086</v>
      </c>
      <c r="AZ77" s="64"/>
      <c r="BA77" s="64"/>
      <c r="BB77" s="68"/>
      <c r="BC77" s="64"/>
      <c r="BD77" s="63"/>
      <c r="BE77" s="63"/>
      <c r="BF77" s="63"/>
      <c r="BG77" s="63"/>
      <c r="BH77" s="313" t="s">
        <v>526</v>
      </c>
      <c r="BI77" s="129" t="s">
        <v>131</v>
      </c>
      <c r="BJ77" s="423" t="s">
        <v>1074</v>
      </c>
      <c r="BK77" s="65">
        <v>1122050552</v>
      </c>
      <c r="BL77" s="355"/>
      <c r="BM77" s="287"/>
      <c r="BN77" s="287"/>
      <c r="BO77" s="287"/>
      <c r="BP77" s="287"/>
      <c r="BQ77" s="287"/>
      <c r="BR77" s="287"/>
      <c r="BS77" s="287"/>
      <c r="BT77" s="287"/>
      <c r="BU77" s="287"/>
      <c r="BV77" s="287"/>
      <c r="BW77" s="287"/>
      <c r="BX77" s="287"/>
      <c r="BY77" s="287"/>
      <c r="BZ77" s="287"/>
      <c r="CA77" s="287"/>
      <c r="CB77" s="287"/>
      <c r="CC77" s="287"/>
      <c r="CD77" s="287"/>
      <c r="CE77" s="287"/>
      <c r="CF77" s="287"/>
      <c r="CG77" s="287"/>
      <c r="CH77" s="287"/>
      <c r="CI77" s="287"/>
      <c r="CJ77" s="287"/>
      <c r="CK77" s="287"/>
      <c r="CL77" s="287"/>
      <c r="CM77" s="287"/>
      <c r="CN77" s="287"/>
      <c r="CO77" s="287"/>
      <c r="CP77" s="287"/>
      <c r="CQ77" s="287"/>
      <c r="CR77" s="287"/>
      <c r="CS77" s="287"/>
      <c r="CT77" s="287"/>
      <c r="CU77" s="287"/>
      <c r="CV77" s="287"/>
      <c r="CW77" s="287"/>
      <c r="CX77" s="287"/>
      <c r="CY77" s="287"/>
      <c r="CZ77" s="287"/>
      <c r="DA77" s="287"/>
      <c r="DB77" s="287"/>
      <c r="DC77" s="287"/>
      <c r="DD77" s="287"/>
      <c r="DE77" s="287"/>
      <c r="DF77" s="287"/>
      <c r="DG77" s="287"/>
      <c r="DH77" s="287"/>
      <c r="DI77" s="287"/>
      <c r="DJ77" s="287"/>
      <c r="DK77" s="287"/>
      <c r="DL77" s="287"/>
      <c r="DM77" s="287"/>
      <c r="DN77" s="287"/>
      <c r="DO77" s="287"/>
      <c r="DP77" s="287"/>
      <c r="DQ77" s="287"/>
      <c r="DR77" s="287"/>
      <c r="DS77" s="287"/>
      <c r="DT77" s="287"/>
      <c r="DU77" s="287"/>
      <c r="DV77" s="287"/>
      <c r="DW77" s="287"/>
      <c r="DX77" s="287"/>
      <c r="DY77" s="287"/>
      <c r="DZ77" s="287"/>
      <c r="EA77" s="287"/>
      <c r="EB77" s="287"/>
      <c r="EC77" s="287"/>
      <c r="ED77" s="287"/>
      <c r="EE77" s="287"/>
      <c r="EF77" s="287"/>
      <c r="EG77" s="287"/>
      <c r="EH77" s="287"/>
      <c r="EI77" s="287"/>
      <c r="EJ77" s="287"/>
      <c r="EK77" s="287"/>
      <c r="EL77" s="287"/>
      <c r="EM77" s="287"/>
      <c r="EN77" s="287"/>
      <c r="EO77" s="287"/>
      <c r="EP77" s="287"/>
      <c r="EQ77" s="287"/>
      <c r="ER77" s="287"/>
      <c r="ES77" s="287"/>
      <c r="ET77" s="287"/>
      <c r="EU77" s="287"/>
      <c r="EV77" s="287"/>
      <c r="EW77" s="287"/>
      <c r="EX77" s="287"/>
      <c r="EY77" s="287"/>
      <c r="EZ77" s="287"/>
      <c r="FA77" s="287"/>
      <c r="FB77" s="287"/>
      <c r="FC77" s="287"/>
      <c r="FD77" s="287"/>
      <c r="FE77" s="287"/>
      <c r="FF77" s="287"/>
      <c r="FG77" s="287"/>
      <c r="FH77" s="287"/>
      <c r="FI77" s="287"/>
      <c r="FJ77" s="287"/>
      <c r="FK77" s="287"/>
      <c r="FL77" s="287"/>
      <c r="FM77" s="287"/>
      <c r="FN77" s="287"/>
      <c r="FO77" s="287"/>
      <c r="FP77" s="287"/>
      <c r="FQ77" s="287"/>
      <c r="FR77" s="287"/>
      <c r="FS77" s="287"/>
      <c r="FT77" s="287"/>
      <c r="FU77" s="287"/>
      <c r="FV77" s="287"/>
      <c r="FW77" s="287"/>
      <c r="FX77" s="287"/>
      <c r="FY77" s="287"/>
      <c r="FZ77" s="287"/>
      <c r="GA77" s="287"/>
      <c r="GB77" s="287"/>
      <c r="GC77" s="287"/>
      <c r="GD77" s="287"/>
      <c r="GE77" s="287"/>
      <c r="GF77" s="287"/>
      <c r="GG77" s="287"/>
      <c r="GH77" s="287"/>
      <c r="GI77" s="287"/>
      <c r="GJ77" s="287"/>
      <c r="GK77" s="287"/>
      <c r="GL77" s="287"/>
      <c r="GM77" s="287"/>
      <c r="GN77" s="287"/>
      <c r="GO77" s="287"/>
      <c r="GP77" s="287"/>
      <c r="GQ77" s="287"/>
      <c r="GR77" s="287"/>
      <c r="GS77" s="287"/>
      <c r="GT77" s="287"/>
      <c r="GU77" s="287"/>
      <c r="GV77" s="287"/>
      <c r="GW77" s="287"/>
      <c r="GX77" s="287"/>
      <c r="GY77" s="287"/>
      <c r="GZ77" s="287"/>
      <c r="HA77" s="287"/>
      <c r="HB77" s="287"/>
      <c r="HC77" s="287"/>
      <c r="HD77" s="287"/>
      <c r="HE77" s="287"/>
      <c r="HF77" s="287"/>
      <c r="HG77" s="287"/>
      <c r="HH77" s="287"/>
      <c r="HI77" s="287"/>
      <c r="HJ77" s="287"/>
      <c r="HK77" s="287"/>
      <c r="HL77" s="287"/>
      <c r="HM77" s="287"/>
      <c r="HN77" s="287"/>
      <c r="HO77" s="287"/>
      <c r="HP77" s="287"/>
      <c r="HQ77" s="287"/>
      <c r="HR77" s="287"/>
      <c r="HS77" s="287"/>
      <c r="HT77" s="287"/>
      <c r="HU77" s="287"/>
      <c r="HV77" s="287"/>
      <c r="HW77" s="287"/>
      <c r="HX77" s="287"/>
      <c r="HY77" s="287"/>
      <c r="HZ77" s="287"/>
      <c r="IA77" s="287"/>
      <c r="IB77" s="287"/>
      <c r="IC77" s="287"/>
      <c r="ID77" s="287"/>
      <c r="IE77" s="287"/>
      <c r="IF77" s="287"/>
      <c r="IG77" s="287"/>
      <c r="IH77" s="287"/>
      <c r="II77" s="287"/>
      <c r="IJ77" s="287"/>
      <c r="IK77" s="287"/>
      <c r="IL77" s="287"/>
      <c r="IM77" s="287"/>
      <c r="IN77" s="287"/>
      <c r="IO77" s="287"/>
      <c r="IP77" s="287"/>
      <c r="IQ77" s="287"/>
      <c r="IR77" s="287"/>
      <c r="IS77" s="287"/>
      <c r="IT77" s="287"/>
      <c r="IU77" s="287"/>
    </row>
    <row r="78" s="40" customFormat="1" ht="24" customHeight="1" spans="1:255">
      <c r="A78" s="54">
        <v>73</v>
      </c>
      <c r="B78" s="63">
        <v>2687</v>
      </c>
      <c r="C78" s="63" t="s">
        <v>658</v>
      </c>
      <c r="D78" s="63" t="s">
        <v>76</v>
      </c>
      <c r="E78" s="63" t="s">
        <v>870</v>
      </c>
      <c r="F78" s="64"/>
      <c r="G78" s="65" t="s">
        <v>1087</v>
      </c>
      <c r="H78" s="66"/>
      <c r="I78" s="113" t="str">
        <f t="shared" si="14"/>
        <v>Eni Musarofah</v>
      </c>
      <c r="J78" s="129" t="s">
        <v>80</v>
      </c>
      <c r="K78" s="102" t="str">
        <f t="shared" si="13"/>
        <v>Perempuan</v>
      </c>
      <c r="L78" s="130" t="s">
        <v>1088</v>
      </c>
      <c r="M78" s="131">
        <v>29920</v>
      </c>
      <c r="N78" s="132" t="str">
        <f ca="1" t="shared" si="15"/>
        <v>43 Tahun 11 Bulan </v>
      </c>
      <c r="O78" s="133" t="str">
        <f t="shared" si="10"/>
        <v>30 November 1981</v>
      </c>
      <c r="P78" s="63">
        <f ca="1" t="shared" si="7"/>
        <v>43</v>
      </c>
      <c r="Q78" s="63" t="str">
        <f ca="1" t="shared" si="8"/>
        <v>OKE</v>
      </c>
      <c r="R78" s="583" t="s">
        <v>1089</v>
      </c>
      <c r="S78" s="64"/>
      <c r="T78" s="583" t="s">
        <v>1090</v>
      </c>
      <c r="U78" s="130" t="s">
        <v>129</v>
      </c>
      <c r="V78" s="129" t="s">
        <v>290</v>
      </c>
      <c r="W78" s="63" t="s">
        <v>112</v>
      </c>
      <c r="X78" s="130" t="s">
        <v>1091</v>
      </c>
      <c r="Y78" s="129">
        <v>8</v>
      </c>
      <c r="Z78" s="129"/>
      <c r="AA78" s="130"/>
      <c r="AB78" s="130" t="s">
        <v>935</v>
      </c>
      <c r="AC78" s="129">
        <v>77353</v>
      </c>
      <c r="AD78" s="130" t="s">
        <v>131</v>
      </c>
      <c r="AE78" s="130"/>
      <c r="AF78" s="583" t="s">
        <v>1092</v>
      </c>
      <c r="AG78" s="65" t="s">
        <v>1093</v>
      </c>
      <c r="AH78" s="64"/>
      <c r="AI78" s="64"/>
      <c r="AJ78" s="130" t="s">
        <v>1094</v>
      </c>
      <c r="AK78" s="584" t="s">
        <v>1095</v>
      </c>
      <c r="AL78" s="225" t="str">
        <f ca="1" t="shared" si="9"/>
        <v>16 Tahun 1 Bulan </v>
      </c>
      <c r="AM78" s="130" t="s">
        <v>880</v>
      </c>
      <c r="AN78" s="129" t="s">
        <v>93</v>
      </c>
      <c r="AO78" s="65" t="s">
        <v>1096</v>
      </c>
      <c r="AP78" s="130" t="s">
        <v>95</v>
      </c>
      <c r="AQ78" s="130" t="s">
        <v>1097</v>
      </c>
      <c r="AR78" s="130"/>
      <c r="AS78" s="130" t="s">
        <v>188</v>
      </c>
      <c r="AT78" s="130"/>
      <c r="AU78" s="130" t="s">
        <v>883</v>
      </c>
      <c r="AV78" s="583" t="s">
        <v>1098</v>
      </c>
      <c r="AW78" s="129" t="s">
        <v>100</v>
      </c>
      <c r="AX78" s="65" t="s">
        <v>120</v>
      </c>
      <c r="AY78" s="130" t="s">
        <v>1099</v>
      </c>
      <c r="AZ78" s="64"/>
      <c r="BA78" s="64"/>
      <c r="BB78" s="68"/>
      <c r="BC78" s="64"/>
      <c r="BD78" s="63"/>
      <c r="BE78" s="63"/>
      <c r="BF78" s="63"/>
      <c r="BG78" s="63"/>
      <c r="BH78" s="313" t="s">
        <v>526</v>
      </c>
      <c r="BI78" s="129" t="s">
        <v>131</v>
      </c>
      <c r="BJ78" s="423" t="s">
        <v>1087</v>
      </c>
      <c r="BK78" s="65">
        <v>1122050561</v>
      </c>
      <c r="BL78" s="355"/>
      <c r="BM78" s="287"/>
      <c r="BN78" s="287"/>
      <c r="BO78" s="287"/>
      <c r="BP78" s="287"/>
      <c r="BQ78" s="287"/>
      <c r="BR78" s="287"/>
      <c r="BS78" s="287"/>
      <c r="BT78" s="287"/>
      <c r="BU78" s="287"/>
      <c r="BV78" s="287"/>
      <c r="BW78" s="287"/>
      <c r="BX78" s="287"/>
      <c r="BY78" s="287"/>
      <c r="BZ78" s="287"/>
      <c r="CA78" s="287"/>
      <c r="CB78" s="287"/>
      <c r="CC78" s="287"/>
      <c r="CD78" s="287"/>
      <c r="CE78" s="287"/>
      <c r="CF78" s="287"/>
      <c r="CG78" s="287"/>
      <c r="CH78" s="287"/>
      <c r="CI78" s="287"/>
      <c r="CJ78" s="287"/>
      <c r="CK78" s="287"/>
      <c r="CL78" s="287"/>
      <c r="CM78" s="287"/>
      <c r="CN78" s="287"/>
      <c r="CO78" s="287"/>
      <c r="CP78" s="287"/>
      <c r="CQ78" s="287"/>
      <c r="CR78" s="287"/>
      <c r="CS78" s="287"/>
      <c r="CT78" s="287"/>
      <c r="CU78" s="287"/>
      <c r="CV78" s="287"/>
      <c r="CW78" s="287"/>
      <c r="CX78" s="287"/>
      <c r="CY78" s="287"/>
      <c r="CZ78" s="287"/>
      <c r="DA78" s="287"/>
      <c r="DB78" s="287"/>
      <c r="DC78" s="287"/>
      <c r="DD78" s="287"/>
      <c r="DE78" s="287"/>
      <c r="DF78" s="287"/>
      <c r="DG78" s="287"/>
      <c r="DH78" s="287"/>
      <c r="DI78" s="287"/>
      <c r="DJ78" s="287"/>
      <c r="DK78" s="287"/>
      <c r="DL78" s="287"/>
      <c r="DM78" s="287"/>
      <c r="DN78" s="287"/>
      <c r="DO78" s="287"/>
      <c r="DP78" s="287"/>
      <c r="DQ78" s="287"/>
      <c r="DR78" s="287"/>
      <c r="DS78" s="287"/>
      <c r="DT78" s="287"/>
      <c r="DU78" s="287"/>
      <c r="DV78" s="287"/>
      <c r="DW78" s="287"/>
      <c r="DX78" s="287"/>
      <c r="DY78" s="287"/>
      <c r="DZ78" s="287"/>
      <c r="EA78" s="287"/>
      <c r="EB78" s="287"/>
      <c r="EC78" s="287"/>
      <c r="ED78" s="287"/>
      <c r="EE78" s="287"/>
      <c r="EF78" s="287"/>
      <c r="EG78" s="287"/>
      <c r="EH78" s="287"/>
      <c r="EI78" s="287"/>
      <c r="EJ78" s="287"/>
      <c r="EK78" s="287"/>
      <c r="EL78" s="287"/>
      <c r="EM78" s="287"/>
      <c r="EN78" s="287"/>
      <c r="EO78" s="287"/>
      <c r="EP78" s="287"/>
      <c r="EQ78" s="287"/>
      <c r="ER78" s="287"/>
      <c r="ES78" s="287"/>
      <c r="ET78" s="287"/>
      <c r="EU78" s="287"/>
      <c r="EV78" s="287"/>
      <c r="EW78" s="287"/>
      <c r="EX78" s="287"/>
      <c r="EY78" s="287"/>
      <c r="EZ78" s="287"/>
      <c r="FA78" s="287"/>
      <c r="FB78" s="287"/>
      <c r="FC78" s="287"/>
      <c r="FD78" s="287"/>
      <c r="FE78" s="287"/>
      <c r="FF78" s="287"/>
      <c r="FG78" s="287"/>
      <c r="FH78" s="287"/>
      <c r="FI78" s="287"/>
      <c r="FJ78" s="287"/>
      <c r="FK78" s="287"/>
      <c r="FL78" s="287"/>
      <c r="FM78" s="287"/>
      <c r="FN78" s="287"/>
      <c r="FO78" s="287"/>
      <c r="FP78" s="287"/>
      <c r="FQ78" s="287"/>
      <c r="FR78" s="287"/>
      <c r="FS78" s="287"/>
      <c r="FT78" s="287"/>
      <c r="FU78" s="287"/>
      <c r="FV78" s="287"/>
      <c r="FW78" s="287"/>
      <c r="FX78" s="287"/>
      <c r="FY78" s="287"/>
      <c r="FZ78" s="287"/>
      <c r="GA78" s="287"/>
      <c r="GB78" s="287"/>
      <c r="GC78" s="287"/>
      <c r="GD78" s="287"/>
      <c r="GE78" s="287"/>
      <c r="GF78" s="287"/>
      <c r="GG78" s="287"/>
      <c r="GH78" s="287"/>
      <c r="GI78" s="287"/>
      <c r="GJ78" s="287"/>
      <c r="GK78" s="287"/>
      <c r="GL78" s="287"/>
      <c r="GM78" s="287"/>
      <c r="GN78" s="287"/>
      <c r="GO78" s="287"/>
      <c r="GP78" s="287"/>
      <c r="GQ78" s="287"/>
      <c r="GR78" s="287"/>
      <c r="GS78" s="287"/>
      <c r="GT78" s="287"/>
      <c r="GU78" s="287"/>
      <c r="GV78" s="287"/>
      <c r="GW78" s="287"/>
      <c r="GX78" s="287"/>
      <c r="GY78" s="287"/>
      <c r="GZ78" s="287"/>
      <c r="HA78" s="287"/>
      <c r="HB78" s="287"/>
      <c r="HC78" s="287"/>
      <c r="HD78" s="287"/>
      <c r="HE78" s="287"/>
      <c r="HF78" s="287"/>
      <c r="HG78" s="287"/>
      <c r="HH78" s="287"/>
      <c r="HI78" s="287"/>
      <c r="HJ78" s="287"/>
      <c r="HK78" s="287"/>
      <c r="HL78" s="287"/>
      <c r="HM78" s="287"/>
      <c r="HN78" s="287"/>
      <c r="HO78" s="287"/>
      <c r="HP78" s="287"/>
      <c r="HQ78" s="287"/>
      <c r="HR78" s="287"/>
      <c r="HS78" s="287"/>
      <c r="HT78" s="287"/>
      <c r="HU78" s="287"/>
      <c r="HV78" s="287"/>
      <c r="HW78" s="287"/>
      <c r="HX78" s="287"/>
      <c r="HY78" s="287"/>
      <c r="HZ78" s="287"/>
      <c r="IA78" s="287"/>
      <c r="IB78" s="287"/>
      <c r="IC78" s="287"/>
      <c r="ID78" s="287"/>
      <c r="IE78" s="287"/>
      <c r="IF78" s="287"/>
      <c r="IG78" s="287"/>
      <c r="IH78" s="287"/>
      <c r="II78" s="287"/>
      <c r="IJ78" s="287"/>
      <c r="IK78" s="287"/>
      <c r="IL78" s="287"/>
      <c r="IM78" s="287"/>
      <c r="IN78" s="287"/>
      <c r="IO78" s="287"/>
      <c r="IP78" s="287"/>
      <c r="IQ78" s="287"/>
      <c r="IR78" s="287"/>
      <c r="IS78" s="287"/>
      <c r="IT78" s="287"/>
      <c r="IU78" s="287"/>
    </row>
    <row r="79" s="40" customFormat="1" ht="24" customHeight="1" spans="1:255">
      <c r="A79" s="54">
        <v>74</v>
      </c>
      <c r="B79" s="63">
        <v>2688</v>
      </c>
      <c r="C79" s="63" t="s">
        <v>658</v>
      </c>
      <c r="D79" s="63" t="s">
        <v>76</v>
      </c>
      <c r="E79" s="63" t="s">
        <v>870</v>
      </c>
      <c r="F79" s="64"/>
      <c r="G79" s="130" t="s">
        <v>1100</v>
      </c>
      <c r="H79" s="129"/>
      <c r="I79" s="113" t="str">
        <f t="shared" si="14"/>
        <v>Winarsu</v>
      </c>
      <c r="J79" s="129" t="s">
        <v>127</v>
      </c>
      <c r="K79" s="102" t="str">
        <f t="shared" si="13"/>
        <v>Laki-laki</v>
      </c>
      <c r="L79" s="130" t="s">
        <v>1088</v>
      </c>
      <c r="M79" s="131">
        <v>28086</v>
      </c>
      <c r="N79" s="132" t="str">
        <f ca="1" t="shared" si="15"/>
        <v>48 Tahun 11 Bulan </v>
      </c>
      <c r="O79" s="133" t="str">
        <f t="shared" si="10"/>
        <v>22 November 1976</v>
      </c>
      <c r="P79" s="63">
        <f ca="1" t="shared" si="7"/>
        <v>48</v>
      </c>
      <c r="Q79" s="63" t="str">
        <f ca="1" t="shared" si="8"/>
        <v>OKE</v>
      </c>
      <c r="R79" s="587" t="s">
        <v>1101</v>
      </c>
      <c r="S79" s="64"/>
      <c r="T79" s="583" t="s">
        <v>1102</v>
      </c>
      <c r="U79" s="130" t="s">
        <v>129</v>
      </c>
      <c r="V79" s="129" t="s">
        <v>290</v>
      </c>
      <c r="W79" s="63" t="s">
        <v>112</v>
      </c>
      <c r="X79" s="130" t="s">
        <v>1103</v>
      </c>
      <c r="Y79" s="129">
        <v>9</v>
      </c>
      <c r="Z79" s="129"/>
      <c r="AA79" s="130"/>
      <c r="AB79" s="130" t="s">
        <v>935</v>
      </c>
      <c r="AC79" s="129">
        <v>77353</v>
      </c>
      <c r="AD79" s="130" t="s">
        <v>131</v>
      </c>
      <c r="AE79" s="130"/>
      <c r="AF79" s="583" t="s">
        <v>1104</v>
      </c>
      <c r="AG79" s="130" t="s">
        <v>1105</v>
      </c>
      <c r="AH79" s="64"/>
      <c r="AI79" s="64"/>
      <c r="AJ79" s="130" t="s">
        <v>1106</v>
      </c>
      <c r="AK79" s="586" t="s">
        <v>1107</v>
      </c>
      <c r="AL79" s="225" t="str">
        <f ca="1" t="shared" si="9"/>
        <v>16 Tahun 3 Bulan </v>
      </c>
      <c r="AM79" s="130" t="s">
        <v>880</v>
      </c>
      <c r="AN79" s="129" t="s">
        <v>93</v>
      </c>
      <c r="AO79" s="130" t="s">
        <v>1108</v>
      </c>
      <c r="AP79" s="130" t="s">
        <v>297</v>
      </c>
      <c r="AQ79" s="583" t="s">
        <v>156</v>
      </c>
      <c r="AR79" s="130"/>
      <c r="AS79" s="583" t="s">
        <v>156</v>
      </c>
      <c r="AT79" s="130"/>
      <c r="AU79" s="130" t="s">
        <v>883</v>
      </c>
      <c r="AV79" s="130" t="s">
        <v>1109</v>
      </c>
      <c r="AW79" s="129" t="s">
        <v>100</v>
      </c>
      <c r="AX79" s="65" t="s">
        <v>120</v>
      </c>
      <c r="AY79" s="130" t="s">
        <v>234</v>
      </c>
      <c r="AZ79" s="64"/>
      <c r="BA79" s="64"/>
      <c r="BB79" s="68"/>
      <c r="BC79" s="64"/>
      <c r="BD79" s="63"/>
      <c r="BE79" s="63"/>
      <c r="BF79" s="63"/>
      <c r="BG79" s="63"/>
      <c r="BH79" s="313" t="s">
        <v>526</v>
      </c>
      <c r="BI79" s="129" t="s">
        <v>131</v>
      </c>
      <c r="BJ79" s="272" t="s">
        <v>1100</v>
      </c>
      <c r="BK79" s="65">
        <v>1122050587</v>
      </c>
      <c r="BL79" s="355"/>
      <c r="BM79" s="287"/>
      <c r="BN79" s="287"/>
      <c r="BO79" s="287"/>
      <c r="BP79" s="287"/>
      <c r="BQ79" s="287"/>
      <c r="BR79" s="287"/>
      <c r="BS79" s="287"/>
      <c r="BT79" s="287"/>
      <c r="BU79" s="287"/>
      <c r="BV79" s="287"/>
      <c r="BW79" s="287"/>
      <c r="BX79" s="287"/>
      <c r="BY79" s="287"/>
      <c r="BZ79" s="287"/>
      <c r="CA79" s="287"/>
      <c r="CB79" s="287"/>
      <c r="CC79" s="287"/>
      <c r="CD79" s="287"/>
      <c r="CE79" s="287"/>
      <c r="CF79" s="287"/>
      <c r="CG79" s="287"/>
      <c r="CH79" s="287"/>
      <c r="CI79" s="287"/>
      <c r="CJ79" s="287"/>
      <c r="CK79" s="287"/>
      <c r="CL79" s="287"/>
      <c r="CM79" s="287"/>
      <c r="CN79" s="287"/>
      <c r="CO79" s="287"/>
      <c r="CP79" s="287"/>
      <c r="CQ79" s="287"/>
      <c r="CR79" s="287"/>
      <c r="CS79" s="287"/>
      <c r="CT79" s="287"/>
      <c r="CU79" s="287"/>
      <c r="CV79" s="287"/>
      <c r="CW79" s="287"/>
      <c r="CX79" s="287"/>
      <c r="CY79" s="287"/>
      <c r="CZ79" s="287"/>
      <c r="DA79" s="287"/>
      <c r="DB79" s="287"/>
      <c r="DC79" s="287"/>
      <c r="DD79" s="287"/>
      <c r="DE79" s="287"/>
      <c r="DF79" s="287"/>
      <c r="DG79" s="287"/>
      <c r="DH79" s="287"/>
      <c r="DI79" s="287"/>
      <c r="DJ79" s="287"/>
      <c r="DK79" s="287"/>
      <c r="DL79" s="287"/>
      <c r="DM79" s="287"/>
      <c r="DN79" s="287"/>
      <c r="DO79" s="287"/>
      <c r="DP79" s="287"/>
      <c r="DQ79" s="287"/>
      <c r="DR79" s="287"/>
      <c r="DS79" s="287"/>
      <c r="DT79" s="287"/>
      <c r="DU79" s="287"/>
      <c r="DV79" s="287"/>
      <c r="DW79" s="287"/>
      <c r="DX79" s="287"/>
      <c r="DY79" s="287"/>
      <c r="DZ79" s="287"/>
      <c r="EA79" s="287"/>
      <c r="EB79" s="287"/>
      <c r="EC79" s="287"/>
      <c r="ED79" s="287"/>
      <c r="EE79" s="287"/>
      <c r="EF79" s="287"/>
      <c r="EG79" s="287"/>
      <c r="EH79" s="287"/>
      <c r="EI79" s="287"/>
      <c r="EJ79" s="287"/>
      <c r="EK79" s="287"/>
      <c r="EL79" s="287"/>
      <c r="EM79" s="287"/>
      <c r="EN79" s="287"/>
      <c r="EO79" s="287"/>
      <c r="EP79" s="287"/>
      <c r="EQ79" s="287"/>
      <c r="ER79" s="287"/>
      <c r="ES79" s="287"/>
      <c r="ET79" s="287"/>
      <c r="EU79" s="287"/>
      <c r="EV79" s="287"/>
      <c r="EW79" s="287"/>
      <c r="EX79" s="287"/>
      <c r="EY79" s="287"/>
      <c r="EZ79" s="287"/>
      <c r="FA79" s="287"/>
      <c r="FB79" s="287"/>
      <c r="FC79" s="287"/>
      <c r="FD79" s="287"/>
      <c r="FE79" s="287"/>
      <c r="FF79" s="287"/>
      <c r="FG79" s="287"/>
      <c r="FH79" s="287"/>
      <c r="FI79" s="287"/>
      <c r="FJ79" s="287"/>
      <c r="FK79" s="287"/>
      <c r="FL79" s="287"/>
      <c r="FM79" s="287"/>
      <c r="FN79" s="287"/>
      <c r="FO79" s="287"/>
      <c r="FP79" s="287"/>
      <c r="FQ79" s="287"/>
      <c r="FR79" s="287"/>
      <c r="FS79" s="287"/>
      <c r="FT79" s="287"/>
      <c r="FU79" s="287"/>
      <c r="FV79" s="287"/>
      <c r="FW79" s="287"/>
      <c r="FX79" s="287"/>
      <c r="FY79" s="287"/>
      <c r="FZ79" s="287"/>
      <c r="GA79" s="287"/>
      <c r="GB79" s="287"/>
      <c r="GC79" s="287"/>
      <c r="GD79" s="287"/>
      <c r="GE79" s="287"/>
      <c r="GF79" s="287"/>
      <c r="GG79" s="287"/>
      <c r="GH79" s="287"/>
      <c r="GI79" s="287"/>
      <c r="GJ79" s="287"/>
      <c r="GK79" s="287"/>
      <c r="GL79" s="287"/>
      <c r="GM79" s="287"/>
      <c r="GN79" s="287"/>
      <c r="GO79" s="287"/>
      <c r="GP79" s="287"/>
      <c r="GQ79" s="287"/>
      <c r="GR79" s="287"/>
      <c r="GS79" s="287"/>
      <c r="GT79" s="287"/>
      <c r="GU79" s="287"/>
      <c r="GV79" s="287"/>
      <c r="GW79" s="287"/>
      <c r="GX79" s="287"/>
      <c r="GY79" s="287"/>
      <c r="GZ79" s="287"/>
      <c r="HA79" s="287"/>
      <c r="HB79" s="287"/>
      <c r="HC79" s="287"/>
      <c r="HD79" s="287"/>
      <c r="HE79" s="287"/>
      <c r="HF79" s="287"/>
      <c r="HG79" s="287"/>
      <c r="HH79" s="287"/>
      <c r="HI79" s="287"/>
      <c r="HJ79" s="287"/>
      <c r="HK79" s="287"/>
      <c r="HL79" s="287"/>
      <c r="HM79" s="287"/>
      <c r="HN79" s="287"/>
      <c r="HO79" s="287"/>
      <c r="HP79" s="287"/>
      <c r="HQ79" s="287"/>
      <c r="HR79" s="287"/>
      <c r="HS79" s="287"/>
      <c r="HT79" s="287"/>
      <c r="HU79" s="287"/>
      <c r="HV79" s="287"/>
      <c r="HW79" s="287"/>
      <c r="HX79" s="287"/>
      <c r="HY79" s="287"/>
      <c r="HZ79" s="287"/>
      <c r="IA79" s="287"/>
      <c r="IB79" s="287"/>
      <c r="IC79" s="287"/>
      <c r="ID79" s="287"/>
      <c r="IE79" s="287"/>
      <c r="IF79" s="287"/>
      <c r="IG79" s="287"/>
      <c r="IH79" s="287"/>
      <c r="II79" s="287"/>
      <c r="IJ79" s="287"/>
      <c r="IK79" s="287"/>
      <c r="IL79" s="287"/>
      <c r="IM79" s="287"/>
      <c r="IN79" s="287"/>
      <c r="IO79" s="287"/>
      <c r="IP79" s="287"/>
      <c r="IQ79" s="287"/>
      <c r="IR79" s="287"/>
      <c r="IS79" s="287"/>
      <c r="IT79" s="287"/>
      <c r="IU79" s="287"/>
    </row>
    <row r="80" s="40" customFormat="1" ht="24" customHeight="1" spans="1:255">
      <c r="A80" s="54">
        <v>75</v>
      </c>
      <c r="B80" s="63">
        <v>2690</v>
      </c>
      <c r="C80" s="63" t="s">
        <v>658</v>
      </c>
      <c r="D80" s="63" t="s">
        <v>76</v>
      </c>
      <c r="E80" s="63" t="s">
        <v>870</v>
      </c>
      <c r="F80" s="64"/>
      <c r="G80" s="130" t="s">
        <v>1110</v>
      </c>
      <c r="H80" s="129"/>
      <c r="I80" s="113" t="str">
        <f t="shared" si="14"/>
        <v>Komariyanto</v>
      </c>
      <c r="J80" s="129" t="s">
        <v>127</v>
      </c>
      <c r="K80" s="102" t="str">
        <f t="shared" si="13"/>
        <v>Laki-laki</v>
      </c>
      <c r="L80" s="130" t="s">
        <v>1111</v>
      </c>
      <c r="M80" s="131">
        <v>26505</v>
      </c>
      <c r="N80" s="132" t="str">
        <f ca="1" t="shared" si="15"/>
        <v>53 Tahun 3 Bulan </v>
      </c>
      <c r="O80" s="133" t="str">
        <f t="shared" si="10"/>
        <v>25 July 1972</v>
      </c>
      <c r="P80" s="63">
        <f ca="1" t="shared" si="7"/>
        <v>53</v>
      </c>
      <c r="Q80" s="63" t="str">
        <f ca="1" t="shared" si="8"/>
        <v>OKE</v>
      </c>
      <c r="R80" s="587" t="s">
        <v>1112</v>
      </c>
      <c r="S80" s="64"/>
      <c r="T80" s="583" t="s">
        <v>1113</v>
      </c>
      <c r="U80" s="130" t="s">
        <v>848</v>
      </c>
      <c r="V80" s="129" t="s">
        <v>290</v>
      </c>
      <c r="W80" s="63" t="s">
        <v>112</v>
      </c>
      <c r="X80" s="130" t="s">
        <v>1114</v>
      </c>
      <c r="Y80" s="129">
        <v>1</v>
      </c>
      <c r="Z80" s="129"/>
      <c r="AA80" s="130"/>
      <c r="AB80" s="130" t="s">
        <v>893</v>
      </c>
      <c r="AC80" s="129">
        <v>77353</v>
      </c>
      <c r="AD80" s="130" t="s">
        <v>131</v>
      </c>
      <c r="AE80" s="130"/>
      <c r="AF80" s="583" t="s">
        <v>1115</v>
      </c>
      <c r="AG80" s="130" t="s">
        <v>1116</v>
      </c>
      <c r="AH80" s="64"/>
      <c r="AI80" s="64"/>
      <c r="AJ80" s="130" t="s">
        <v>1117</v>
      </c>
      <c r="AK80" s="584" t="s">
        <v>1107</v>
      </c>
      <c r="AL80" s="225" t="str">
        <f ca="1" t="shared" si="9"/>
        <v>16 Tahun 3 Bulan </v>
      </c>
      <c r="AM80" s="130" t="s">
        <v>880</v>
      </c>
      <c r="AN80" s="129" t="s">
        <v>93</v>
      </c>
      <c r="AO80" s="130" t="s">
        <v>1118</v>
      </c>
      <c r="AP80" s="130" t="s">
        <v>95</v>
      </c>
      <c r="AQ80" s="130" t="s">
        <v>1119</v>
      </c>
      <c r="AR80" s="130"/>
      <c r="AS80" s="130" t="s">
        <v>986</v>
      </c>
      <c r="AT80" s="130"/>
      <c r="AU80" s="130" t="s">
        <v>883</v>
      </c>
      <c r="AV80" s="130" t="s">
        <v>1120</v>
      </c>
      <c r="AW80" s="129" t="s">
        <v>100</v>
      </c>
      <c r="AX80" s="65" t="s">
        <v>120</v>
      </c>
      <c r="AY80" s="130" t="s">
        <v>234</v>
      </c>
      <c r="AZ80" s="64"/>
      <c r="BA80" s="64"/>
      <c r="BB80" s="68"/>
      <c r="BC80" s="64"/>
      <c r="BD80" s="63"/>
      <c r="BE80" s="63"/>
      <c r="BF80" s="63"/>
      <c r="BG80" s="63"/>
      <c r="BH80" s="313" t="s">
        <v>526</v>
      </c>
      <c r="BI80" s="129" t="s">
        <v>131</v>
      </c>
      <c r="BJ80" s="272" t="s">
        <v>1110</v>
      </c>
      <c r="BK80" s="65">
        <v>1122050595</v>
      </c>
      <c r="BL80" s="355"/>
      <c r="BM80" s="287"/>
      <c r="BN80" s="287"/>
      <c r="BO80" s="287"/>
      <c r="BP80" s="287"/>
      <c r="BQ80" s="287"/>
      <c r="BR80" s="287"/>
      <c r="BS80" s="287"/>
      <c r="BT80" s="287"/>
      <c r="BU80" s="287"/>
      <c r="BV80" s="287"/>
      <c r="BW80" s="287"/>
      <c r="BX80" s="287"/>
      <c r="BY80" s="287"/>
      <c r="BZ80" s="287"/>
      <c r="CA80" s="287"/>
      <c r="CB80" s="287"/>
      <c r="CC80" s="287"/>
      <c r="CD80" s="287"/>
      <c r="CE80" s="287"/>
      <c r="CF80" s="287"/>
      <c r="CG80" s="287"/>
      <c r="CH80" s="287"/>
      <c r="CI80" s="287"/>
      <c r="CJ80" s="287"/>
      <c r="CK80" s="287"/>
      <c r="CL80" s="287"/>
      <c r="CM80" s="287"/>
      <c r="CN80" s="287"/>
      <c r="CO80" s="287"/>
      <c r="CP80" s="287"/>
      <c r="CQ80" s="287"/>
      <c r="CR80" s="287"/>
      <c r="CS80" s="287"/>
      <c r="CT80" s="287"/>
      <c r="CU80" s="287"/>
      <c r="CV80" s="287"/>
      <c r="CW80" s="287"/>
      <c r="CX80" s="287"/>
      <c r="CY80" s="287"/>
      <c r="CZ80" s="287"/>
      <c r="DA80" s="287"/>
      <c r="DB80" s="287"/>
      <c r="DC80" s="287"/>
      <c r="DD80" s="287"/>
      <c r="DE80" s="287"/>
      <c r="DF80" s="287"/>
      <c r="DG80" s="287"/>
      <c r="DH80" s="287"/>
      <c r="DI80" s="287"/>
      <c r="DJ80" s="287"/>
      <c r="DK80" s="287"/>
      <c r="DL80" s="287"/>
      <c r="DM80" s="287"/>
      <c r="DN80" s="287"/>
      <c r="DO80" s="287"/>
      <c r="DP80" s="287"/>
      <c r="DQ80" s="287"/>
      <c r="DR80" s="287"/>
      <c r="DS80" s="287"/>
      <c r="DT80" s="287"/>
      <c r="DU80" s="287"/>
      <c r="DV80" s="287"/>
      <c r="DW80" s="287"/>
      <c r="DX80" s="287"/>
      <c r="DY80" s="287"/>
      <c r="DZ80" s="287"/>
      <c r="EA80" s="287"/>
      <c r="EB80" s="287"/>
      <c r="EC80" s="287"/>
      <c r="ED80" s="287"/>
      <c r="EE80" s="287"/>
      <c r="EF80" s="287"/>
      <c r="EG80" s="287"/>
      <c r="EH80" s="287"/>
      <c r="EI80" s="287"/>
      <c r="EJ80" s="287"/>
      <c r="EK80" s="287"/>
      <c r="EL80" s="287"/>
      <c r="EM80" s="287"/>
      <c r="EN80" s="287"/>
      <c r="EO80" s="287"/>
      <c r="EP80" s="287"/>
      <c r="EQ80" s="287"/>
      <c r="ER80" s="287"/>
      <c r="ES80" s="287"/>
      <c r="ET80" s="287"/>
      <c r="EU80" s="287"/>
      <c r="EV80" s="287"/>
      <c r="EW80" s="287"/>
      <c r="EX80" s="287"/>
      <c r="EY80" s="287"/>
      <c r="EZ80" s="287"/>
      <c r="FA80" s="287"/>
      <c r="FB80" s="287"/>
      <c r="FC80" s="287"/>
      <c r="FD80" s="287"/>
      <c r="FE80" s="287"/>
      <c r="FF80" s="287"/>
      <c r="FG80" s="287"/>
      <c r="FH80" s="287"/>
      <c r="FI80" s="287"/>
      <c r="FJ80" s="287"/>
      <c r="FK80" s="287"/>
      <c r="FL80" s="287"/>
      <c r="FM80" s="287"/>
      <c r="FN80" s="287"/>
      <c r="FO80" s="287"/>
      <c r="FP80" s="287"/>
      <c r="FQ80" s="287"/>
      <c r="FR80" s="287"/>
      <c r="FS80" s="287"/>
      <c r="FT80" s="287"/>
      <c r="FU80" s="287"/>
      <c r="FV80" s="287"/>
      <c r="FW80" s="287"/>
      <c r="FX80" s="287"/>
      <c r="FY80" s="287"/>
      <c r="FZ80" s="287"/>
      <c r="GA80" s="287"/>
      <c r="GB80" s="287"/>
      <c r="GC80" s="287"/>
      <c r="GD80" s="287"/>
      <c r="GE80" s="287"/>
      <c r="GF80" s="287"/>
      <c r="GG80" s="287"/>
      <c r="GH80" s="287"/>
      <c r="GI80" s="287"/>
      <c r="GJ80" s="287"/>
      <c r="GK80" s="287"/>
      <c r="GL80" s="287"/>
      <c r="GM80" s="287"/>
      <c r="GN80" s="287"/>
      <c r="GO80" s="287"/>
      <c r="GP80" s="287"/>
      <c r="GQ80" s="287"/>
      <c r="GR80" s="287"/>
      <c r="GS80" s="287"/>
      <c r="GT80" s="287"/>
      <c r="GU80" s="287"/>
      <c r="GV80" s="287"/>
      <c r="GW80" s="287"/>
      <c r="GX80" s="287"/>
      <c r="GY80" s="287"/>
      <c r="GZ80" s="287"/>
      <c r="HA80" s="287"/>
      <c r="HB80" s="287"/>
      <c r="HC80" s="287"/>
      <c r="HD80" s="287"/>
      <c r="HE80" s="287"/>
      <c r="HF80" s="287"/>
      <c r="HG80" s="287"/>
      <c r="HH80" s="287"/>
      <c r="HI80" s="287"/>
      <c r="HJ80" s="287"/>
      <c r="HK80" s="287"/>
      <c r="HL80" s="287"/>
      <c r="HM80" s="287"/>
      <c r="HN80" s="287"/>
      <c r="HO80" s="287"/>
      <c r="HP80" s="287"/>
      <c r="HQ80" s="287"/>
      <c r="HR80" s="287"/>
      <c r="HS80" s="287"/>
      <c r="HT80" s="287"/>
      <c r="HU80" s="287"/>
      <c r="HV80" s="287"/>
      <c r="HW80" s="287"/>
      <c r="HX80" s="287"/>
      <c r="HY80" s="287"/>
      <c r="HZ80" s="287"/>
      <c r="IA80" s="287"/>
      <c r="IB80" s="287"/>
      <c r="IC80" s="287"/>
      <c r="ID80" s="287"/>
      <c r="IE80" s="287"/>
      <c r="IF80" s="287"/>
      <c r="IG80" s="287"/>
      <c r="IH80" s="287"/>
      <c r="II80" s="287"/>
      <c r="IJ80" s="287"/>
      <c r="IK80" s="287"/>
      <c r="IL80" s="287"/>
      <c r="IM80" s="287"/>
      <c r="IN80" s="287"/>
      <c r="IO80" s="287"/>
      <c r="IP80" s="287"/>
      <c r="IQ80" s="287"/>
      <c r="IR80" s="287"/>
      <c r="IS80" s="287"/>
      <c r="IT80" s="287"/>
      <c r="IU80" s="287"/>
    </row>
    <row r="81" s="40" customFormat="1" ht="24" customHeight="1" spans="1:255">
      <c r="A81" s="54">
        <v>76</v>
      </c>
      <c r="B81" s="63">
        <v>2689</v>
      </c>
      <c r="C81" s="63" t="s">
        <v>658</v>
      </c>
      <c r="D81" s="63" t="s">
        <v>76</v>
      </c>
      <c r="E81" s="63" t="s">
        <v>870</v>
      </c>
      <c r="F81" s="64"/>
      <c r="G81" s="130" t="s">
        <v>1121</v>
      </c>
      <c r="H81" s="129"/>
      <c r="I81" s="113" t="str">
        <f t="shared" si="14"/>
        <v>Reni Andriani</v>
      </c>
      <c r="J81" s="129" t="s">
        <v>80</v>
      </c>
      <c r="K81" s="102" t="str">
        <f t="shared" si="13"/>
        <v>Perempuan</v>
      </c>
      <c r="L81" s="130" t="s">
        <v>75</v>
      </c>
      <c r="M81" s="131">
        <v>32544</v>
      </c>
      <c r="N81" s="132" t="str">
        <f ca="1" t="shared" si="15"/>
        <v>36 Tahun 8 Bulan </v>
      </c>
      <c r="O81" s="133" t="str">
        <f t="shared" si="10"/>
        <v>05 February 1989</v>
      </c>
      <c r="P81" s="63">
        <f ca="1" t="shared" si="7"/>
        <v>36</v>
      </c>
      <c r="Q81" s="63" t="str">
        <f ca="1" t="shared" si="8"/>
        <v>OKE</v>
      </c>
      <c r="R81" s="587" t="s">
        <v>1122</v>
      </c>
      <c r="S81" s="64"/>
      <c r="T81" s="583" t="s">
        <v>156</v>
      </c>
      <c r="U81" s="130" t="s">
        <v>111</v>
      </c>
      <c r="V81" s="129" t="s">
        <v>290</v>
      </c>
      <c r="W81" s="63" t="s">
        <v>112</v>
      </c>
      <c r="X81" s="130" t="s">
        <v>1123</v>
      </c>
      <c r="Y81" s="129">
        <v>9</v>
      </c>
      <c r="Z81" s="129"/>
      <c r="AA81" s="130"/>
      <c r="AB81" s="130" t="s">
        <v>935</v>
      </c>
      <c r="AC81" s="129">
        <v>77353</v>
      </c>
      <c r="AD81" s="130" t="s">
        <v>131</v>
      </c>
      <c r="AE81" s="130"/>
      <c r="AF81" s="583" t="s">
        <v>1124</v>
      </c>
      <c r="AG81" s="130" t="s">
        <v>1125</v>
      </c>
      <c r="AH81" s="64"/>
      <c r="AI81" s="64"/>
      <c r="AJ81" s="130" t="s">
        <v>1001</v>
      </c>
      <c r="AK81" s="272" t="s">
        <v>1002</v>
      </c>
      <c r="AL81" s="225" t="str">
        <f ca="1" t="shared" si="9"/>
        <v>12 Tahun 2 Bulan </v>
      </c>
      <c r="AM81" s="130" t="s">
        <v>92</v>
      </c>
      <c r="AN81" s="129" t="s">
        <v>93</v>
      </c>
      <c r="AO81" s="130" t="s">
        <v>1126</v>
      </c>
      <c r="AP81" s="130" t="s">
        <v>95</v>
      </c>
      <c r="AQ81" s="130" t="s">
        <v>1127</v>
      </c>
      <c r="AR81" s="130"/>
      <c r="AS81" s="130" t="s">
        <v>188</v>
      </c>
      <c r="AT81" s="130"/>
      <c r="AU81" s="130" t="s">
        <v>883</v>
      </c>
      <c r="AV81" s="583" t="s">
        <v>156</v>
      </c>
      <c r="AW81" s="129" t="s">
        <v>100</v>
      </c>
      <c r="AX81" s="65" t="s">
        <v>120</v>
      </c>
      <c r="AY81" s="130" t="s">
        <v>234</v>
      </c>
      <c r="AZ81" s="64"/>
      <c r="BA81" s="64"/>
      <c r="BB81" s="68"/>
      <c r="BC81" s="64"/>
      <c r="BD81" s="63"/>
      <c r="BE81" s="63"/>
      <c r="BF81" s="63"/>
      <c r="BG81" s="63"/>
      <c r="BH81" s="313" t="s">
        <v>526</v>
      </c>
      <c r="BI81" s="129" t="s">
        <v>131</v>
      </c>
      <c r="BJ81" s="272" t="s">
        <v>1121</v>
      </c>
      <c r="BK81" s="65">
        <v>1122050641</v>
      </c>
      <c r="BL81" s="355"/>
      <c r="BM81" s="287"/>
      <c r="BN81" s="287"/>
      <c r="BO81" s="287"/>
      <c r="BP81" s="287"/>
      <c r="BQ81" s="287"/>
      <c r="BR81" s="287"/>
      <c r="BS81" s="287"/>
      <c r="BT81" s="287"/>
      <c r="BU81" s="287"/>
      <c r="BV81" s="287"/>
      <c r="BW81" s="287"/>
      <c r="BX81" s="287"/>
      <c r="BY81" s="287"/>
      <c r="BZ81" s="287"/>
      <c r="CA81" s="287"/>
      <c r="CB81" s="287"/>
      <c r="CC81" s="287"/>
      <c r="CD81" s="287"/>
      <c r="CE81" s="287"/>
      <c r="CF81" s="287"/>
      <c r="CG81" s="287"/>
      <c r="CH81" s="287"/>
      <c r="CI81" s="287"/>
      <c r="CJ81" s="287"/>
      <c r="CK81" s="287"/>
      <c r="CL81" s="287"/>
      <c r="CM81" s="287"/>
      <c r="CN81" s="287"/>
      <c r="CO81" s="287"/>
      <c r="CP81" s="287"/>
      <c r="CQ81" s="287"/>
      <c r="CR81" s="287"/>
      <c r="CS81" s="287"/>
      <c r="CT81" s="287"/>
      <c r="CU81" s="287"/>
      <c r="CV81" s="287"/>
      <c r="CW81" s="287"/>
      <c r="CX81" s="287"/>
      <c r="CY81" s="287"/>
      <c r="CZ81" s="287"/>
      <c r="DA81" s="287"/>
      <c r="DB81" s="287"/>
      <c r="DC81" s="287"/>
      <c r="DD81" s="287"/>
      <c r="DE81" s="287"/>
      <c r="DF81" s="287"/>
      <c r="DG81" s="287"/>
      <c r="DH81" s="287"/>
      <c r="DI81" s="287"/>
      <c r="DJ81" s="287"/>
      <c r="DK81" s="287"/>
      <c r="DL81" s="287"/>
      <c r="DM81" s="287"/>
      <c r="DN81" s="287"/>
      <c r="DO81" s="287"/>
      <c r="DP81" s="287"/>
      <c r="DQ81" s="287"/>
      <c r="DR81" s="287"/>
      <c r="DS81" s="287"/>
      <c r="DT81" s="287"/>
      <c r="DU81" s="287"/>
      <c r="DV81" s="287"/>
      <c r="DW81" s="287"/>
      <c r="DX81" s="287"/>
      <c r="DY81" s="287"/>
      <c r="DZ81" s="287"/>
      <c r="EA81" s="287"/>
      <c r="EB81" s="287"/>
      <c r="EC81" s="287"/>
      <c r="ED81" s="287"/>
      <c r="EE81" s="287"/>
      <c r="EF81" s="287"/>
      <c r="EG81" s="287"/>
      <c r="EH81" s="287"/>
      <c r="EI81" s="287"/>
      <c r="EJ81" s="287"/>
      <c r="EK81" s="287"/>
      <c r="EL81" s="287"/>
      <c r="EM81" s="287"/>
      <c r="EN81" s="287"/>
      <c r="EO81" s="287"/>
      <c r="EP81" s="287"/>
      <c r="EQ81" s="287"/>
      <c r="ER81" s="287"/>
      <c r="ES81" s="287"/>
      <c r="ET81" s="287"/>
      <c r="EU81" s="287"/>
      <c r="EV81" s="287"/>
      <c r="EW81" s="287"/>
      <c r="EX81" s="287"/>
      <c r="EY81" s="287"/>
      <c r="EZ81" s="287"/>
      <c r="FA81" s="287"/>
      <c r="FB81" s="287"/>
      <c r="FC81" s="287"/>
      <c r="FD81" s="287"/>
      <c r="FE81" s="287"/>
      <c r="FF81" s="287"/>
      <c r="FG81" s="287"/>
      <c r="FH81" s="287"/>
      <c r="FI81" s="287"/>
      <c r="FJ81" s="287"/>
      <c r="FK81" s="287"/>
      <c r="FL81" s="287"/>
      <c r="FM81" s="287"/>
      <c r="FN81" s="287"/>
      <c r="FO81" s="287"/>
      <c r="FP81" s="287"/>
      <c r="FQ81" s="287"/>
      <c r="FR81" s="287"/>
      <c r="FS81" s="287"/>
      <c r="FT81" s="287"/>
      <c r="FU81" s="287"/>
      <c r="FV81" s="287"/>
      <c r="FW81" s="287"/>
      <c r="FX81" s="287"/>
      <c r="FY81" s="287"/>
      <c r="FZ81" s="287"/>
      <c r="GA81" s="287"/>
      <c r="GB81" s="287"/>
      <c r="GC81" s="287"/>
      <c r="GD81" s="287"/>
      <c r="GE81" s="287"/>
      <c r="GF81" s="287"/>
      <c r="GG81" s="287"/>
      <c r="GH81" s="287"/>
      <c r="GI81" s="287"/>
      <c r="GJ81" s="287"/>
      <c r="GK81" s="287"/>
      <c r="GL81" s="287"/>
      <c r="GM81" s="287"/>
      <c r="GN81" s="287"/>
      <c r="GO81" s="287"/>
      <c r="GP81" s="287"/>
      <c r="GQ81" s="287"/>
      <c r="GR81" s="287"/>
      <c r="GS81" s="287"/>
      <c r="GT81" s="287"/>
      <c r="GU81" s="287"/>
      <c r="GV81" s="287"/>
      <c r="GW81" s="287"/>
      <c r="GX81" s="287"/>
      <c r="GY81" s="287"/>
      <c r="GZ81" s="287"/>
      <c r="HA81" s="287"/>
      <c r="HB81" s="287"/>
      <c r="HC81" s="287"/>
      <c r="HD81" s="287"/>
      <c r="HE81" s="287"/>
      <c r="HF81" s="287"/>
      <c r="HG81" s="287"/>
      <c r="HH81" s="287"/>
      <c r="HI81" s="287"/>
      <c r="HJ81" s="287"/>
      <c r="HK81" s="287"/>
      <c r="HL81" s="287"/>
      <c r="HM81" s="287"/>
      <c r="HN81" s="287"/>
      <c r="HO81" s="287"/>
      <c r="HP81" s="287"/>
      <c r="HQ81" s="287"/>
      <c r="HR81" s="287"/>
      <c r="HS81" s="287"/>
      <c r="HT81" s="287"/>
      <c r="HU81" s="287"/>
      <c r="HV81" s="287"/>
      <c r="HW81" s="287"/>
      <c r="HX81" s="287"/>
      <c r="HY81" s="287"/>
      <c r="HZ81" s="287"/>
      <c r="IA81" s="287"/>
      <c r="IB81" s="287"/>
      <c r="IC81" s="287"/>
      <c r="ID81" s="287"/>
      <c r="IE81" s="287"/>
      <c r="IF81" s="287"/>
      <c r="IG81" s="287"/>
      <c r="IH81" s="287"/>
      <c r="II81" s="287"/>
      <c r="IJ81" s="287"/>
      <c r="IK81" s="287"/>
      <c r="IL81" s="287"/>
      <c r="IM81" s="287"/>
      <c r="IN81" s="287"/>
      <c r="IO81" s="287"/>
      <c r="IP81" s="287"/>
      <c r="IQ81" s="287"/>
      <c r="IR81" s="287"/>
      <c r="IS81" s="287"/>
      <c r="IT81" s="287"/>
      <c r="IU81" s="287"/>
    </row>
    <row r="82" s="40" customFormat="1" ht="24" customHeight="1" spans="1:255">
      <c r="A82" s="54">
        <v>77</v>
      </c>
      <c r="B82" s="63">
        <v>2682</v>
      </c>
      <c r="C82" s="63" t="s">
        <v>658</v>
      </c>
      <c r="D82" s="63" t="s">
        <v>76</v>
      </c>
      <c r="E82" s="63" t="s">
        <v>870</v>
      </c>
      <c r="F82" s="64"/>
      <c r="G82" s="130" t="s">
        <v>1128</v>
      </c>
      <c r="H82" s="129"/>
      <c r="I82" s="113" t="str">
        <f t="shared" si="14"/>
        <v>Selamet Riyanto</v>
      </c>
      <c r="J82" s="129" t="s">
        <v>127</v>
      </c>
      <c r="K82" s="102" t="str">
        <f t="shared" si="13"/>
        <v>Laki-laki</v>
      </c>
      <c r="L82" s="130" t="s">
        <v>1129</v>
      </c>
      <c r="M82" s="131">
        <v>22991</v>
      </c>
      <c r="N82" s="132" t="str">
        <f ca="1" t="shared" si="15"/>
        <v>62 Tahun 10 Bulan </v>
      </c>
      <c r="O82" s="133" t="str">
        <f t="shared" si="10"/>
        <v>11 December 1962</v>
      </c>
      <c r="P82" s="63">
        <f ca="1" t="shared" si="7"/>
        <v>62</v>
      </c>
      <c r="Q82" s="63" t="str">
        <f ca="1" t="shared" si="8"/>
        <v>Lewat</v>
      </c>
      <c r="R82" s="587" t="s">
        <v>1130</v>
      </c>
      <c r="S82" s="64"/>
      <c r="T82" s="583" t="s">
        <v>156</v>
      </c>
      <c r="U82" s="130" t="s">
        <v>274</v>
      </c>
      <c r="V82" s="129" t="s">
        <v>290</v>
      </c>
      <c r="W82" s="63" t="s">
        <v>112</v>
      </c>
      <c r="X82" s="130" t="s">
        <v>1131</v>
      </c>
      <c r="Y82" s="129">
        <v>3</v>
      </c>
      <c r="Z82" s="129"/>
      <c r="AA82" s="130"/>
      <c r="AB82" s="130" t="s">
        <v>893</v>
      </c>
      <c r="AC82" s="129">
        <v>77353</v>
      </c>
      <c r="AD82" s="130" t="s">
        <v>131</v>
      </c>
      <c r="AE82" s="130"/>
      <c r="AF82" s="583" t="s">
        <v>1132</v>
      </c>
      <c r="AG82" s="130" t="s">
        <v>1133</v>
      </c>
      <c r="AH82" s="64"/>
      <c r="AI82" s="64"/>
      <c r="AJ82" s="130" t="s">
        <v>1134</v>
      </c>
      <c r="AK82" s="584" t="s">
        <v>1135</v>
      </c>
      <c r="AL82" s="225" t="str">
        <f ca="1" t="shared" si="9"/>
        <v>10 Tahun 9 Bulan </v>
      </c>
      <c r="AM82" s="130" t="s">
        <v>92</v>
      </c>
      <c r="AN82" s="129" t="s">
        <v>93</v>
      </c>
      <c r="AO82" s="130" t="s">
        <v>1136</v>
      </c>
      <c r="AP82" s="130" t="s">
        <v>95</v>
      </c>
      <c r="AQ82" s="130" t="s">
        <v>1137</v>
      </c>
      <c r="AR82" s="130"/>
      <c r="AS82" s="130" t="s">
        <v>941</v>
      </c>
      <c r="AT82" s="130"/>
      <c r="AU82" s="130" t="s">
        <v>883</v>
      </c>
      <c r="AV82" s="583" t="s">
        <v>156</v>
      </c>
      <c r="AW82" s="129" t="s">
        <v>100</v>
      </c>
      <c r="AX82" s="65" t="s">
        <v>860</v>
      </c>
      <c r="AY82" s="130"/>
      <c r="AZ82" s="64"/>
      <c r="BA82" s="64"/>
      <c r="BB82" s="68"/>
      <c r="BC82" s="64"/>
      <c r="BD82" s="63"/>
      <c r="BE82" s="63"/>
      <c r="BF82" s="63"/>
      <c r="BG82" s="63"/>
      <c r="BH82" s="313" t="s">
        <v>526</v>
      </c>
      <c r="BI82" s="129" t="s">
        <v>131</v>
      </c>
      <c r="BJ82" s="272" t="s">
        <v>1128</v>
      </c>
      <c r="BK82" s="65">
        <v>1122050447</v>
      </c>
      <c r="BL82" s="355"/>
      <c r="BM82" s="287"/>
      <c r="BN82" s="287"/>
      <c r="BO82" s="287"/>
      <c r="BP82" s="287"/>
      <c r="BQ82" s="287"/>
      <c r="BR82" s="287"/>
      <c r="BS82" s="287"/>
      <c r="BT82" s="287"/>
      <c r="BU82" s="287"/>
      <c r="BV82" s="287"/>
      <c r="BW82" s="287"/>
      <c r="BX82" s="287"/>
      <c r="BY82" s="287"/>
      <c r="BZ82" s="287"/>
      <c r="CA82" s="287"/>
      <c r="CB82" s="287"/>
      <c r="CC82" s="287"/>
      <c r="CD82" s="287"/>
      <c r="CE82" s="287"/>
      <c r="CF82" s="287"/>
      <c r="CG82" s="287"/>
      <c r="CH82" s="287"/>
      <c r="CI82" s="287"/>
      <c r="CJ82" s="287"/>
      <c r="CK82" s="287"/>
      <c r="CL82" s="287"/>
      <c r="CM82" s="287"/>
      <c r="CN82" s="287"/>
      <c r="CO82" s="287"/>
      <c r="CP82" s="287"/>
      <c r="CQ82" s="287"/>
      <c r="CR82" s="287"/>
      <c r="CS82" s="287"/>
      <c r="CT82" s="287"/>
      <c r="CU82" s="287"/>
      <c r="CV82" s="287"/>
      <c r="CW82" s="287"/>
      <c r="CX82" s="287"/>
      <c r="CY82" s="287"/>
      <c r="CZ82" s="287"/>
      <c r="DA82" s="287"/>
      <c r="DB82" s="287"/>
      <c r="DC82" s="287"/>
      <c r="DD82" s="287"/>
      <c r="DE82" s="287"/>
      <c r="DF82" s="287"/>
      <c r="DG82" s="287"/>
      <c r="DH82" s="287"/>
      <c r="DI82" s="287"/>
      <c r="DJ82" s="287"/>
      <c r="DK82" s="287"/>
      <c r="DL82" s="287"/>
      <c r="DM82" s="287"/>
      <c r="DN82" s="287"/>
      <c r="DO82" s="287"/>
      <c r="DP82" s="287"/>
      <c r="DQ82" s="287"/>
      <c r="DR82" s="287"/>
      <c r="DS82" s="287"/>
      <c r="DT82" s="287"/>
      <c r="DU82" s="287"/>
      <c r="DV82" s="287"/>
      <c r="DW82" s="287"/>
      <c r="DX82" s="287"/>
      <c r="DY82" s="287"/>
      <c r="DZ82" s="287"/>
      <c r="EA82" s="287"/>
      <c r="EB82" s="287"/>
      <c r="EC82" s="287"/>
      <c r="ED82" s="287"/>
      <c r="EE82" s="287"/>
      <c r="EF82" s="287"/>
      <c r="EG82" s="287"/>
      <c r="EH82" s="287"/>
      <c r="EI82" s="287"/>
      <c r="EJ82" s="287"/>
      <c r="EK82" s="287"/>
      <c r="EL82" s="287"/>
      <c r="EM82" s="287"/>
      <c r="EN82" s="287"/>
      <c r="EO82" s="287"/>
      <c r="EP82" s="287"/>
      <c r="EQ82" s="287"/>
      <c r="ER82" s="287"/>
      <c r="ES82" s="287"/>
      <c r="ET82" s="287"/>
      <c r="EU82" s="287"/>
      <c r="EV82" s="287"/>
      <c r="EW82" s="287"/>
      <c r="EX82" s="287"/>
      <c r="EY82" s="287"/>
      <c r="EZ82" s="287"/>
      <c r="FA82" s="287"/>
      <c r="FB82" s="287"/>
      <c r="FC82" s="287"/>
      <c r="FD82" s="287"/>
      <c r="FE82" s="287"/>
      <c r="FF82" s="287"/>
      <c r="FG82" s="287"/>
      <c r="FH82" s="287"/>
      <c r="FI82" s="287"/>
      <c r="FJ82" s="287"/>
      <c r="FK82" s="287"/>
      <c r="FL82" s="287"/>
      <c r="FM82" s="287"/>
      <c r="FN82" s="287"/>
      <c r="FO82" s="287"/>
      <c r="FP82" s="287"/>
      <c r="FQ82" s="287"/>
      <c r="FR82" s="287"/>
      <c r="FS82" s="287"/>
      <c r="FT82" s="287"/>
      <c r="FU82" s="287"/>
      <c r="FV82" s="287"/>
      <c r="FW82" s="287"/>
      <c r="FX82" s="287"/>
      <c r="FY82" s="287"/>
      <c r="FZ82" s="287"/>
      <c r="GA82" s="287"/>
      <c r="GB82" s="287"/>
      <c r="GC82" s="287"/>
      <c r="GD82" s="287"/>
      <c r="GE82" s="287"/>
      <c r="GF82" s="287"/>
      <c r="GG82" s="287"/>
      <c r="GH82" s="287"/>
      <c r="GI82" s="287"/>
      <c r="GJ82" s="287"/>
      <c r="GK82" s="287"/>
      <c r="GL82" s="287"/>
      <c r="GM82" s="287"/>
      <c r="GN82" s="287"/>
      <c r="GO82" s="287"/>
      <c r="GP82" s="287"/>
      <c r="GQ82" s="287"/>
      <c r="GR82" s="287"/>
      <c r="GS82" s="287"/>
      <c r="GT82" s="287"/>
      <c r="GU82" s="287"/>
      <c r="GV82" s="287"/>
      <c r="GW82" s="287"/>
      <c r="GX82" s="287"/>
      <c r="GY82" s="287"/>
      <c r="GZ82" s="287"/>
      <c r="HA82" s="287"/>
      <c r="HB82" s="287"/>
      <c r="HC82" s="287"/>
      <c r="HD82" s="287"/>
      <c r="HE82" s="287"/>
      <c r="HF82" s="287"/>
      <c r="HG82" s="287"/>
      <c r="HH82" s="287"/>
      <c r="HI82" s="287"/>
      <c r="HJ82" s="287"/>
      <c r="HK82" s="287"/>
      <c r="HL82" s="287"/>
      <c r="HM82" s="287"/>
      <c r="HN82" s="287"/>
      <c r="HO82" s="287"/>
      <c r="HP82" s="287"/>
      <c r="HQ82" s="287"/>
      <c r="HR82" s="287"/>
      <c r="HS82" s="287"/>
      <c r="HT82" s="287"/>
      <c r="HU82" s="287"/>
      <c r="HV82" s="287"/>
      <c r="HW82" s="287"/>
      <c r="HX82" s="287"/>
      <c r="HY82" s="287"/>
      <c r="HZ82" s="287"/>
      <c r="IA82" s="287"/>
      <c r="IB82" s="287"/>
      <c r="IC82" s="287"/>
      <c r="ID82" s="287"/>
      <c r="IE82" s="287"/>
      <c r="IF82" s="287"/>
      <c r="IG82" s="287"/>
      <c r="IH82" s="287"/>
      <c r="II82" s="287"/>
      <c r="IJ82" s="287"/>
      <c r="IK82" s="287"/>
      <c r="IL82" s="287"/>
      <c r="IM82" s="287"/>
      <c r="IN82" s="287"/>
      <c r="IO82" s="287"/>
      <c r="IP82" s="287"/>
      <c r="IQ82" s="287"/>
      <c r="IR82" s="287"/>
      <c r="IS82" s="287"/>
      <c r="IT82" s="287"/>
      <c r="IU82" s="287"/>
    </row>
    <row r="83" s="40" customFormat="1" ht="24" customHeight="1" spans="1:255">
      <c r="A83" s="54">
        <v>78</v>
      </c>
      <c r="B83" s="63">
        <v>2683</v>
      </c>
      <c r="C83" s="63" t="s">
        <v>658</v>
      </c>
      <c r="D83" s="63" t="s">
        <v>76</v>
      </c>
      <c r="E83" s="63" t="s">
        <v>870</v>
      </c>
      <c r="F83" s="64"/>
      <c r="G83" s="130" t="s">
        <v>1138</v>
      </c>
      <c r="H83" s="129"/>
      <c r="I83" s="113" t="str">
        <f t="shared" si="14"/>
        <v>Yuli Setyaningsih</v>
      </c>
      <c r="J83" s="129" t="s">
        <v>80</v>
      </c>
      <c r="K83" s="102" t="str">
        <f t="shared" si="13"/>
        <v>Perempuan</v>
      </c>
      <c r="L83" s="130" t="s">
        <v>1063</v>
      </c>
      <c r="M83" s="131">
        <v>32308</v>
      </c>
      <c r="N83" s="132" t="str">
        <f ca="1" t="shared" si="15"/>
        <v>37 Tahun 4 Bulan </v>
      </c>
      <c r="O83" s="133" t="str">
        <f t="shared" si="10"/>
        <v>14 June 1988</v>
      </c>
      <c r="P83" s="63">
        <f ca="1" t="shared" ref="P83:P146" si="21">+DATEDIF(O83,NOW(),"Y")</f>
        <v>37</v>
      </c>
      <c r="Q83" s="63" t="str">
        <f ca="1" t="shared" ref="Q83:Q146" si="22">IF(P83&gt;56,"Lewat","OKE")</f>
        <v>OKE</v>
      </c>
      <c r="R83" s="587" t="s">
        <v>1139</v>
      </c>
      <c r="S83" s="64"/>
      <c r="T83" s="583" t="s">
        <v>156</v>
      </c>
      <c r="U83" s="130" t="s">
        <v>792</v>
      </c>
      <c r="V83" s="129" t="s">
        <v>290</v>
      </c>
      <c r="W83" s="63" t="s">
        <v>112</v>
      </c>
      <c r="X83" s="130" t="s">
        <v>1140</v>
      </c>
      <c r="Y83" s="129">
        <v>1</v>
      </c>
      <c r="Z83" s="129"/>
      <c r="AA83" s="130"/>
      <c r="AB83" s="130" t="s">
        <v>935</v>
      </c>
      <c r="AC83" s="129">
        <v>77353</v>
      </c>
      <c r="AD83" s="130" t="s">
        <v>131</v>
      </c>
      <c r="AE83" s="130"/>
      <c r="AF83" s="583" t="s">
        <v>1141</v>
      </c>
      <c r="AG83" s="130" t="s">
        <v>1142</v>
      </c>
      <c r="AH83" s="64"/>
      <c r="AI83" s="64"/>
      <c r="AJ83" s="130" t="s">
        <v>1143</v>
      </c>
      <c r="AK83" s="584" t="s">
        <v>1144</v>
      </c>
      <c r="AL83" s="225" t="str">
        <f ca="1" t="shared" si="9"/>
        <v>10 Tahun 3 Bulan </v>
      </c>
      <c r="AM83" s="130" t="s">
        <v>92</v>
      </c>
      <c r="AN83" s="129" t="s">
        <v>93</v>
      </c>
      <c r="AO83" s="130" t="s">
        <v>1145</v>
      </c>
      <c r="AP83" s="130" t="s">
        <v>95</v>
      </c>
      <c r="AQ83" s="130" t="s">
        <v>1146</v>
      </c>
      <c r="AR83" s="130"/>
      <c r="AS83" s="130" t="s">
        <v>188</v>
      </c>
      <c r="AT83" s="130"/>
      <c r="AU83" s="130" t="s">
        <v>883</v>
      </c>
      <c r="AV83" s="583" t="s">
        <v>156</v>
      </c>
      <c r="AW83" s="129" t="s">
        <v>100</v>
      </c>
      <c r="AX83" s="65" t="s">
        <v>120</v>
      </c>
      <c r="AY83" s="130" t="s">
        <v>234</v>
      </c>
      <c r="AZ83" s="64"/>
      <c r="BA83" s="64"/>
      <c r="BB83" s="68"/>
      <c r="BC83" s="64"/>
      <c r="BD83" s="63"/>
      <c r="BE83" s="63"/>
      <c r="BF83" s="63"/>
      <c r="BG83" s="63"/>
      <c r="BH83" s="313" t="s">
        <v>526</v>
      </c>
      <c r="BI83" s="129" t="s">
        <v>131</v>
      </c>
      <c r="BJ83" s="272" t="s">
        <v>1138</v>
      </c>
      <c r="BK83" s="65">
        <v>1122053012</v>
      </c>
      <c r="BL83" s="355"/>
      <c r="BM83" s="287"/>
      <c r="BN83" s="287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  <c r="BY83" s="287"/>
      <c r="BZ83" s="287"/>
      <c r="CA83" s="287"/>
      <c r="CB83" s="287"/>
      <c r="CC83" s="287"/>
      <c r="CD83" s="287"/>
      <c r="CE83" s="287"/>
      <c r="CF83" s="287"/>
      <c r="CG83" s="287"/>
      <c r="CH83" s="287"/>
      <c r="CI83" s="287"/>
      <c r="CJ83" s="287"/>
      <c r="CK83" s="287"/>
      <c r="CL83" s="287"/>
      <c r="CM83" s="287"/>
      <c r="CN83" s="287"/>
      <c r="CO83" s="287"/>
      <c r="CP83" s="287"/>
      <c r="CQ83" s="287"/>
      <c r="CR83" s="287"/>
      <c r="CS83" s="287"/>
      <c r="CT83" s="287"/>
      <c r="CU83" s="287"/>
      <c r="CV83" s="287"/>
      <c r="CW83" s="287"/>
      <c r="CX83" s="287"/>
      <c r="CY83" s="287"/>
      <c r="CZ83" s="287"/>
      <c r="DA83" s="287"/>
      <c r="DB83" s="287"/>
      <c r="DC83" s="287"/>
      <c r="DD83" s="287"/>
      <c r="DE83" s="287"/>
      <c r="DF83" s="287"/>
      <c r="DG83" s="287"/>
      <c r="DH83" s="287"/>
      <c r="DI83" s="287"/>
      <c r="DJ83" s="287"/>
      <c r="DK83" s="287"/>
      <c r="DL83" s="287"/>
      <c r="DM83" s="287"/>
      <c r="DN83" s="287"/>
      <c r="DO83" s="287"/>
      <c r="DP83" s="287"/>
      <c r="DQ83" s="287"/>
      <c r="DR83" s="287"/>
      <c r="DS83" s="287"/>
      <c r="DT83" s="287"/>
      <c r="DU83" s="287"/>
      <c r="DV83" s="287"/>
      <c r="DW83" s="287"/>
      <c r="DX83" s="287"/>
      <c r="DY83" s="287"/>
      <c r="DZ83" s="287"/>
      <c r="EA83" s="287"/>
      <c r="EB83" s="287"/>
      <c r="EC83" s="287"/>
      <c r="ED83" s="287"/>
      <c r="EE83" s="287"/>
      <c r="EF83" s="287"/>
      <c r="EG83" s="287"/>
      <c r="EH83" s="287"/>
      <c r="EI83" s="287"/>
      <c r="EJ83" s="287"/>
      <c r="EK83" s="287"/>
      <c r="EL83" s="287"/>
      <c r="EM83" s="287"/>
      <c r="EN83" s="287"/>
      <c r="EO83" s="287"/>
      <c r="EP83" s="287"/>
      <c r="EQ83" s="287"/>
      <c r="ER83" s="287"/>
      <c r="ES83" s="287"/>
      <c r="ET83" s="287"/>
      <c r="EU83" s="287"/>
      <c r="EV83" s="287"/>
      <c r="EW83" s="287"/>
      <c r="EX83" s="287"/>
      <c r="EY83" s="287"/>
      <c r="EZ83" s="287"/>
      <c r="FA83" s="287"/>
      <c r="FB83" s="287"/>
      <c r="FC83" s="287"/>
      <c r="FD83" s="287"/>
      <c r="FE83" s="287"/>
      <c r="FF83" s="287"/>
      <c r="FG83" s="287"/>
      <c r="FH83" s="287"/>
      <c r="FI83" s="287"/>
      <c r="FJ83" s="287"/>
      <c r="FK83" s="287"/>
      <c r="FL83" s="287"/>
      <c r="FM83" s="287"/>
      <c r="FN83" s="287"/>
      <c r="FO83" s="287"/>
      <c r="FP83" s="287"/>
      <c r="FQ83" s="287"/>
      <c r="FR83" s="287"/>
      <c r="FS83" s="287"/>
      <c r="FT83" s="287"/>
      <c r="FU83" s="287"/>
      <c r="FV83" s="287"/>
      <c r="FW83" s="287"/>
      <c r="FX83" s="287"/>
      <c r="FY83" s="287"/>
      <c r="FZ83" s="287"/>
      <c r="GA83" s="287"/>
      <c r="GB83" s="287"/>
      <c r="GC83" s="287"/>
      <c r="GD83" s="287"/>
      <c r="GE83" s="287"/>
      <c r="GF83" s="287"/>
      <c r="GG83" s="287"/>
      <c r="GH83" s="287"/>
      <c r="GI83" s="287"/>
      <c r="GJ83" s="287"/>
      <c r="GK83" s="287"/>
      <c r="GL83" s="287"/>
      <c r="GM83" s="287"/>
      <c r="GN83" s="287"/>
      <c r="GO83" s="287"/>
      <c r="GP83" s="287"/>
      <c r="GQ83" s="287"/>
      <c r="GR83" s="287"/>
      <c r="GS83" s="287"/>
      <c r="GT83" s="287"/>
      <c r="GU83" s="287"/>
      <c r="GV83" s="287"/>
      <c r="GW83" s="287"/>
      <c r="GX83" s="287"/>
      <c r="GY83" s="287"/>
      <c r="GZ83" s="287"/>
      <c r="HA83" s="287"/>
      <c r="HB83" s="287"/>
      <c r="HC83" s="287"/>
      <c r="HD83" s="287"/>
      <c r="HE83" s="287"/>
      <c r="HF83" s="287"/>
      <c r="HG83" s="287"/>
      <c r="HH83" s="287"/>
      <c r="HI83" s="287"/>
      <c r="HJ83" s="287"/>
      <c r="HK83" s="287"/>
      <c r="HL83" s="287"/>
      <c r="HM83" s="287"/>
      <c r="HN83" s="287"/>
      <c r="HO83" s="287"/>
      <c r="HP83" s="287"/>
      <c r="HQ83" s="287"/>
      <c r="HR83" s="287"/>
      <c r="HS83" s="287"/>
      <c r="HT83" s="287"/>
      <c r="HU83" s="287"/>
      <c r="HV83" s="287"/>
      <c r="HW83" s="287"/>
      <c r="HX83" s="287"/>
      <c r="HY83" s="287"/>
      <c r="HZ83" s="287"/>
      <c r="IA83" s="287"/>
      <c r="IB83" s="287"/>
      <c r="IC83" s="287"/>
      <c r="ID83" s="287"/>
      <c r="IE83" s="287"/>
      <c r="IF83" s="287"/>
      <c r="IG83" s="287"/>
      <c r="IH83" s="287"/>
      <c r="II83" s="287"/>
      <c r="IJ83" s="287"/>
      <c r="IK83" s="287"/>
      <c r="IL83" s="287"/>
      <c r="IM83" s="287"/>
      <c r="IN83" s="287"/>
      <c r="IO83" s="287"/>
      <c r="IP83" s="287"/>
      <c r="IQ83" s="287"/>
      <c r="IR83" s="287"/>
      <c r="IS83" s="287"/>
      <c r="IT83" s="287"/>
      <c r="IU83" s="287"/>
    </row>
    <row r="84" s="292" customFormat="1" ht="35.25" customHeight="1" spans="1:65">
      <c r="A84" s="54">
        <v>79</v>
      </c>
      <c r="B84" s="362" t="s">
        <v>1147</v>
      </c>
      <c r="C84" s="102" t="s">
        <v>509</v>
      </c>
      <c r="D84" s="102" t="s">
        <v>76</v>
      </c>
      <c r="E84" s="102" t="s">
        <v>1148</v>
      </c>
      <c r="F84" s="363"/>
      <c r="G84" s="102" t="s">
        <v>1149</v>
      </c>
      <c r="H84" s="102" t="s">
        <v>1150</v>
      </c>
      <c r="I84" s="102" t="str">
        <f t="shared" si="14"/>
        <v>Andriyani, S.Psi</v>
      </c>
      <c r="J84" s="369" t="s">
        <v>80</v>
      </c>
      <c r="K84" s="102" t="str">
        <f t="shared" si="13"/>
        <v>Perempuan</v>
      </c>
      <c r="L84" s="102" t="s">
        <v>1151</v>
      </c>
      <c r="M84" s="370">
        <v>30712</v>
      </c>
      <c r="N84" s="155" t="str">
        <f ca="1" t="shared" si="15"/>
        <v>41 Tahun 9 Bulan </v>
      </c>
      <c r="O84" s="371" t="str">
        <f t="shared" si="10"/>
        <v>31 January 1984</v>
      </c>
      <c r="P84" s="105">
        <f ca="1" t="shared" si="21"/>
        <v>41</v>
      </c>
      <c r="Q84" s="105" t="str">
        <f ca="1" t="shared" si="22"/>
        <v>OKE</v>
      </c>
      <c r="R84" s="386" t="s">
        <v>1152</v>
      </c>
      <c r="S84" s="363"/>
      <c r="T84" s="387" t="s">
        <v>1153</v>
      </c>
      <c r="U84" s="388" t="s">
        <v>1038</v>
      </c>
      <c r="V84" s="237" t="s">
        <v>1154</v>
      </c>
      <c r="W84" s="369" t="s">
        <v>112</v>
      </c>
      <c r="X84" s="362" t="s">
        <v>1155</v>
      </c>
      <c r="Y84" s="396">
        <v>11</v>
      </c>
      <c r="Z84" s="396">
        <v>0</v>
      </c>
      <c r="AA84" s="396" t="s">
        <v>156</v>
      </c>
      <c r="AB84" s="397" t="s">
        <v>88</v>
      </c>
      <c r="AC84" s="396">
        <v>77311</v>
      </c>
      <c r="AD84" s="398" t="s">
        <v>88</v>
      </c>
      <c r="AE84" s="369" t="s">
        <v>156</v>
      </c>
      <c r="AF84" s="397" t="s">
        <v>1156</v>
      </c>
      <c r="AG84" s="402" t="s">
        <v>1157</v>
      </c>
      <c r="AH84" s="369" t="s">
        <v>156</v>
      </c>
      <c r="AI84" s="369" t="s">
        <v>156</v>
      </c>
      <c r="AJ84" s="403" t="s">
        <v>1158</v>
      </c>
      <c r="AK84" s="404">
        <v>39630</v>
      </c>
      <c r="AL84" s="405" t="str">
        <f ca="1" t="shared" si="9"/>
        <v>17 Tahun 4 Bulan </v>
      </c>
      <c r="AM84" s="398" t="s">
        <v>309</v>
      </c>
      <c r="AN84" s="406" t="s">
        <v>93</v>
      </c>
      <c r="AO84" s="398" t="s">
        <v>1159</v>
      </c>
      <c r="AP84" s="369" t="s">
        <v>95</v>
      </c>
      <c r="AQ84" s="398" t="s">
        <v>1160</v>
      </c>
      <c r="AR84" s="398" t="s">
        <v>1161</v>
      </c>
      <c r="AS84" s="113" t="s">
        <v>98</v>
      </c>
      <c r="AT84" s="369" t="s">
        <v>156</v>
      </c>
      <c r="AU84" s="369" t="s">
        <v>156</v>
      </c>
      <c r="AV84" s="398" t="s">
        <v>1162</v>
      </c>
      <c r="AW84" s="417" t="s">
        <v>100</v>
      </c>
      <c r="AX84" s="403" t="s">
        <v>101</v>
      </c>
      <c r="AY84" s="398" t="s">
        <v>1163</v>
      </c>
      <c r="AZ84" s="369" t="s">
        <v>156</v>
      </c>
      <c r="BA84" s="369" t="s">
        <v>156</v>
      </c>
      <c r="BB84" s="398" t="s">
        <v>235</v>
      </c>
      <c r="BC84" s="398" t="s">
        <v>1164</v>
      </c>
      <c r="BD84" s="418">
        <v>56</v>
      </c>
      <c r="BE84" s="418">
        <v>22</v>
      </c>
      <c r="BF84" s="418">
        <f t="shared" ref="BF84:BF89" si="23">BD84+BE84</f>
        <v>78</v>
      </c>
      <c r="BG84" s="398" t="s">
        <v>1165</v>
      </c>
      <c r="BH84" s="363" t="s">
        <v>105</v>
      </c>
      <c r="BI84" s="113" t="s">
        <v>1166</v>
      </c>
      <c r="BJ84" s="102" t="s">
        <v>1149</v>
      </c>
      <c r="BK84" s="425" t="s">
        <v>1167</v>
      </c>
      <c r="BM84" s="432"/>
    </row>
    <row r="85" s="292" customFormat="1" ht="35.25" customHeight="1" spans="1:65">
      <c r="A85" s="54">
        <v>80</v>
      </c>
      <c r="B85" s="184" t="s">
        <v>1168</v>
      </c>
      <c r="C85" s="82" t="s">
        <v>509</v>
      </c>
      <c r="D85" s="82" t="s">
        <v>76</v>
      </c>
      <c r="E85" s="82" t="s">
        <v>1148</v>
      </c>
      <c r="F85" s="289"/>
      <c r="G85" s="82" t="s">
        <v>1169</v>
      </c>
      <c r="H85" s="82" t="s">
        <v>976</v>
      </c>
      <c r="I85" s="82" t="str">
        <f t="shared" si="14"/>
        <v>Umrah, S.Si</v>
      </c>
      <c r="J85" s="147" t="s">
        <v>80</v>
      </c>
      <c r="K85" s="82" t="str">
        <f t="shared" ref="K85:K148" si="24">IF(J85="P","Perempuan",IF(J85="L","Laki-laki"))</f>
        <v>Perempuan</v>
      </c>
      <c r="L85" s="82" t="s">
        <v>1170</v>
      </c>
      <c r="M85" s="372">
        <v>30584</v>
      </c>
      <c r="N85" s="373" t="str">
        <f ca="1" t="shared" si="15"/>
        <v>42 Tahun 1 Bulan </v>
      </c>
      <c r="O85" s="374" t="str">
        <f t="shared" si="10"/>
        <v>25 September 1983</v>
      </c>
      <c r="P85" s="146">
        <f ca="1" t="shared" si="21"/>
        <v>42</v>
      </c>
      <c r="Q85" s="146" t="str">
        <f ca="1" t="shared" si="22"/>
        <v>OKE</v>
      </c>
      <c r="R85" s="389" t="s">
        <v>1171</v>
      </c>
      <c r="S85" s="289"/>
      <c r="T85" s="390" t="s">
        <v>1172</v>
      </c>
      <c r="U85" s="145" t="s">
        <v>83</v>
      </c>
      <c r="V85" s="237" t="s">
        <v>1154</v>
      </c>
      <c r="W85" s="147" t="s">
        <v>112</v>
      </c>
      <c r="X85" s="184" t="s">
        <v>1173</v>
      </c>
      <c r="Y85" s="141">
        <v>8</v>
      </c>
      <c r="Z85" s="141">
        <v>11</v>
      </c>
      <c r="AA85" s="141" t="s">
        <v>156</v>
      </c>
      <c r="AB85" s="79" t="s">
        <v>88</v>
      </c>
      <c r="AC85" s="141">
        <v>77311</v>
      </c>
      <c r="AD85" s="77" t="s">
        <v>88</v>
      </c>
      <c r="AE85" s="147" t="s">
        <v>156</v>
      </c>
      <c r="AF85" s="79" t="s">
        <v>1174</v>
      </c>
      <c r="AG85" s="232" t="s">
        <v>1175</v>
      </c>
      <c r="AH85" s="147" t="s">
        <v>156</v>
      </c>
      <c r="AI85" s="147" t="s">
        <v>156</v>
      </c>
      <c r="AJ85" s="182" t="s">
        <v>1176</v>
      </c>
      <c r="AK85" s="234">
        <v>40026</v>
      </c>
      <c r="AL85" s="405" t="str">
        <f ca="1" t="shared" si="9"/>
        <v>16 Tahun 3 Bulan </v>
      </c>
      <c r="AM85" s="77" t="s">
        <v>309</v>
      </c>
      <c r="AN85" s="406" t="s">
        <v>93</v>
      </c>
      <c r="AO85" s="77" t="s">
        <v>1177</v>
      </c>
      <c r="AP85" s="147" t="s">
        <v>95</v>
      </c>
      <c r="AQ85" s="77" t="s">
        <v>1178</v>
      </c>
      <c r="AR85" s="147" t="s">
        <v>156</v>
      </c>
      <c r="AS85" s="81" t="s">
        <v>188</v>
      </c>
      <c r="AT85" s="147" t="s">
        <v>156</v>
      </c>
      <c r="AU85" s="147" t="s">
        <v>156</v>
      </c>
      <c r="AV85" s="77" t="s">
        <v>1179</v>
      </c>
      <c r="AW85" s="275" t="s">
        <v>100</v>
      </c>
      <c r="AX85" s="182" t="s">
        <v>101</v>
      </c>
      <c r="AY85" s="77" t="s">
        <v>686</v>
      </c>
      <c r="AZ85" s="147" t="s">
        <v>156</v>
      </c>
      <c r="BA85" s="147" t="s">
        <v>156</v>
      </c>
      <c r="BB85" s="77" t="s">
        <v>1180</v>
      </c>
      <c r="BC85" s="77" t="s">
        <v>1181</v>
      </c>
      <c r="BD85" s="418">
        <v>2</v>
      </c>
      <c r="BE85" s="418">
        <v>23</v>
      </c>
      <c r="BF85" s="418">
        <f t="shared" si="23"/>
        <v>25</v>
      </c>
      <c r="BG85" s="77" t="s">
        <v>686</v>
      </c>
      <c r="BH85" s="289" t="s">
        <v>105</v>
      </c>
      <c r="BI85" s="81" t="s">
        <v>1166</v>
      </c>
      <c r="BJ85" s="82" t="s">
        <v>1169</v>
      </c>
      <c r="BK85" s="426" t="s">
        <v>1182</v>
      </c>
      <c r="BM85" s="432"/>
    </row>
    <row r="86" s="292" customFormat="1" ht="35.25" customHeight="1" spans="1:65">
      <c r="A86" s="54">
        <v>81</v>
      </c>
      <c r="B86" s="184" t="s">
        <v>1183</v>
      </c>
      <c r="C86" s="82" t="s">
        <v>509</v>
      </c>
      <c r="D86" s="82" t="s">
        <v>76</v>
      </c>
      <c r="E86" s="82" t="s">
        <v>1148</v>
      </c>
      <c r="F86" s="289"/>
      <c r="G86" s="82" t="s">
        <v>1184</v>
      </c>
      <c r="H86" s="82" t="s">
        <v>1185</v>
      </c>
      <c r="I86" s="82" t="str">
        <f t="shared" si="14"/>
        <v>Feny Wulan Sari, S.Si, M.Pd</v>
      </c>
      <c r="J86" s="147" t="s">
        <v>80</v>
      </c>
      <c r="K86" s="82" t="str">
        <f t="shared" si="24"/>
        <v>Perempuan</v>
      </c>
      <c r="L86" s="82" t="s">
        <v>88</v>
      </c>
      <c r="M86" s="372">
        <v>31413</v>
      </c>
      <c r="N86" s="373" t="str">
        <f ca="1" t="shared" si="15"/>
        <v>39 Tahun 10 Bulan </v>
      </c>
      <c r="O86" s="374" t="str">
        <f t="shared" si="10"/>
        <v>01 January 1986</v>
      </c>
      <c r="P86" s="146">
        <f ca="1" t="shared" si="21"/>
        <v>39</v>
      </c>
      <c r="Q86" s="146" t="str">
        <f ca="1" t="shared" si="22"/>
        <v>OKE</v>
      </c>
      <c r="R86" s="389" t="s">
        <v>1186</v>
      </c>
      <c r="S86" s="289"/>
      <c r="T86" s="390" t="s">
        <v>1187</v>
      </c>
      <c r="U86" s="145" t="s">
        <v>83</v>
      </c>
      <c r="V86" s="237" t="s">
        <v>1154</v>
      </c>
      <c r="W86" s="147" t="s">
        <v>112</v>
      </c>
      <c r="X86" s="184" t="s">
        <v>1188</v>
      </c>
      <c r="Y86" s="141">
        <v>1</v>
      </c>
      <c r="Z86" s="141">
        <v>0</v>
      </c>
      <c r="AA86" s="141" t="s">
        <v>156</v>
      </c>
      <c r="AB86" s="79" t="s">
        <v>276</v>
      </c>
      <c r="AC86" s="141">
        <v>77311</v>
      </c>
      <c r="AD86" s="77" t="s">
        <v>88</v>
      </c>
      <c r="AE86" s="147" t="s">
        <v>156</v>
      </c>
      <c r="AF86" s="79" t="s">
        <v>1189</v>
      </c>
      <c r="AG86" s="232" t="s">
        <v>1190</v>
      </c>
      <c r="AH86" s="147" t="s">
        <v>156</v>
      </c>
      <c r="AI86" s="147" t="s">
        <v>156</v>
      </c>
      <c r="AJ86" s="182" t="s">
        <v>1191</v>
      </c>
      <c r="AK86" s="234">
        <v>40026</v>
      </c>
      <c r="AL86" s="405" t="str">
        <f ca="1" t="shared" si="9"/>
        <v>16 Tahun 3 Bulan </v>
      </c>
      <c r="AM86" s="77" t="s">
        <v>309</v>
      </c>
      <c r="AN86" s="406" t="s">
        <v>93</v>
      </c>
      <c r="AO86" s="77" t="s">
        <v>1192</v>
      </c>
      <c r="AP86" s="147" t="s">
        <v>95</v>
      </c>
      <c r="AQ86" s="77" t="s">
        <v>1193</v>
      </c>
      <c r="AR86" s="147" t="s">
        <v>156</v>
      </c>
      <c r="AS86" s="81" t="s">
        <v>188</v>
      </c>
      <c r="AT86" s="147" t="s">
        <v>156</v>
      </c>
      <c r="AU86" s="147" t="s">
        <v>156</v>
      </c>
      <c r="AV86" s="77" t="s">
        <v>1194</v>
      </c>
      <c r="AW86" s="275" t="s">
        <v>100</v>
      </c>
      <c r="AX86" s="182" t="s">
        <v>717</v>
      </c>
      <c r="AY86" s="77" t="s">
        <v>1195</v>
      </c>
      <c r="AZ86" s="147" t="s">
        <v>156</v>
      </c>
      <c r="BA86" s="147" t="s">
        <v>156</v>
      </c>
      <c r="BB86" s="147" t="s">
        <v>156</v>
      </c>
      <c r="BC86" s="77" t="s">
        <v>1196</v>
      </c>
      <c r="BD86" s="418"/>
      <c r="BE86" s="418">
        <v>25</v>
      </c>
      <c r="BF86" s="418">
        <f t="shared" si="23"/>
        <v>25</v>
      </c>
      <c r="BG86" s="77" t="s">
        <v>1197</v>
      </c>
      <c r="BH86" s="289" t="s">
        <v>105</v>
      </c>
      <c r="BI86" s="81" t="s">
        <v>1166</v>
      </c>
      <c r="BJ86" s="82" t="s">
        <v>1184</v>
      </c>
      <c r="BK86" s="426" t="s">
        <v>1198</v>
      </c>
      <c r="BM86" s="432"/>
    </row>
    <row r="87" s="292" customFormat="1" ht="35.25" customHeight="1" spans="1:65">
      <c r="A87" s="54">
        <v>82</v>
      </c>
      <c r="B87" s="184" t="s">
        <v>1199</v>
      </c>
      <c r="C87" s="82" t="s">
        <v>509</v>
      </c>
      <c r="D87" s="82" t="s">
        <v>76</v>
      </c>
      <c r="E87" s="82" t="s">
        <v>1148</v>
      </c>
      <c r="F87" s="289"/>
      <c r="G87" s="82" t="s">
        <v>1200</v>
      </c>
      <c r="H87" s="82" t="s">
        <v>177</v>
      </c>
      <c r="I87" s="82" t="str">
        <f t="shared" si="14"/>
        <v>Munawar, S.Pd</v>
      </c>
      <c r="J87" s="147" t="s">
        <v>127</v>
      </c>
      <c r="K87" s="82" t="str">
        <f t="shared" si="24"/>
        <v>Laki-laki</v>
      </c>
      <c r="L87" s="82" t="s">
        <v>1201</v>
      </c>
      <c r="M87" s="372">
        <v>29440</v>
      </c>
      <c r="N87" s="373" t="str">
        <f ca="1" t="shared" si="15"/>
        <v>45 Tahun 2 Bulan </v>
      </c>
      <c r="O87" s="374" t="str">
        <f t="shared" si="10"/>
        <v>07 August 1980</v>
      </c>
      <c r="P87" s="146">
        <f ca="1" t="shared" si="21"/>
        <v>45</v>
      </c>
      <c r="Q87" s="146" t="str">
        <f ca="1" t="shared" si="22"/>
        <v>OKE</v>
      </c>
      <c r="R87" s="389" t="s">
        <v>1202</v>
      </c>
      <c r="S87" s="289"/>
      <c r="T87" s="390" t="s">
        <v>1203</v>
      </c>
      <c r="U87" s="145" t="s">
        <v>83</v>
      </c>
      <c r="V87" s="237" t="s">
        <v>1154</v>
      </c>
      <c r="W87" s="147" t="s">
        <v>112</v>
      </c>
      <c r="X87" s="184" t="s">
        <v>1204</v>
      </c>
      <c r="Y87" s="141">
        <v>15</v>
      </c>
      <c r="Z87" s="141">
        <v>0</v>
      </c>
      <c r="AA87" s="141" t="s">
        <v>156</v>
      </c>
      <c r="AB87" s="79" t="s">
        <v>423</v>
      </c>
      <c r="AC87" s="141">
        <v>77311</v>
      </c>
      <c r="AD87" s="77" t="s">
        <v>88</v>
      </c>
      <c r="AE87" s="147" t="s">
        <v>156</v>
      </c>
      <c r="AF87" s="79" t="s">
        <v>1205</v>
      </c>
      <c r="AG87" s="232" t="s">
        <v>1206</v>
      </c>
      <c r="AH87" s="147" t="s">
        <v>156</v>
      </c>
      <c r="AI87" s="147" t="s">
        <v>156</v>
      </c>
      <c r="AJ87" s="182" t="s">
        <v>1207</v>
      </c>
      <c r="AK87" s="407" t="s">
        <v>1208</v>
      </c>
      <c r="AL87" s="405" t="str">
        <f ca="1" t="shared" si="9"/>
        <v>12 Tahun 10 Bulan </v>
      </c>
      <c r="AM87" s="77" t="s">
        <v>309</v>
      </c>
      <c r="AN87" s="406" t="s">
        <v>93</v>
      </c>
      <c r="AO87" s="77" t="s">
        <v>1209</v>
      </c>
      <c r="AP87" s="147" t="s">
        <v>95</v>
      </c>
      <c r="AQ87" s="77" t="s">
        <v>1210</v>
      </c>
      <c r="AR87" s="147" t="s">
        <v>156</v>
      </c>
      <c r="AS87" s="81" t="s">
        <v>1211</v>
      </c>
      <c r="AT87" s="147" t="s">
        <v>156</v>
      </c>
      <c r="AU87" s="147" t="s">
        <v>156</v>
      </c>
      <c r="AV87" s="77" t="s">
        <v>1212</v>
      </c>
      <c r="AW87" s="275" t="s">
        <v>100</v>
      </c>
      <c r="AX87" s="182" t="s">
        <v>101</v>
      </c>
      <c r="AY87" s="77" t="s">
        <v>1213</v>
      </c>
      <c r="AZ87" s="147" t="s">
        <v>156</v>
      </c>
      <c r="BA87" s="147" t="s">
        <v>156</v>
      </c>
      <c r="BB87" s="77" t="s">
        <v>235</v>
      </c>
      <c r="BC87" s="77" t="s">
        <v>1214</v>
      </c>
      <c r="BD87" s="418"/>
      <c r="BE87" s="418">
        <v>26</v>
      </c>
      <c r="BF87" s="418">
        <f t="shared" si="23"/>
        <v>26</v>
      </c>
      <c r="BG87" s="77" t="s">
        <v>1214</v>
      </c>
      <c r="BH87" s="289" t="s">
        <v>105</v>
      </c>
      <c r="BI87" s="81" t="s">
        <v>1166</v>
      </c>
      <c r="BJ87" s="82" t="s">
        <v>1200</v>
      </c>
      <c r="BK87" s="426" t="s">
        <v>1215</v>
      </c>
      <c r="BM87" s="432"/>
    </row>
    <row r="88" s="292" customFormat="1" ht="35.25" customHeight="1" spans="1:65">
      <c r="A88" s="54">
        <v>83</v>
      </c>
      <c r="B88" s="184" t="s">
        <v>1216</v>
      </c>
      <c r="C88" s="82" t="s">
        <v>509</v>
      </c>
      <c r="D88" s="82" t="s">
        <v>76</v>
      </c>
      <c r="E88" s="82" t="s">
        <v>1148</v>
      </c>
      <c r="F88" s="289"/>
      <c r="G88" s="82" t="s">
        <v>1217</v>
      </c>
      <c r="H88" s="82" t="s">
        <v>126</v>
      </c>
      <c r="I88" s="82" t="str">
        <f t="shared" si="14"/>
        <v>Miarti Ekayanti, S.ST</v>
      </c>
      <c r="J88" s="147" t="s">
        <v>80</v>
      </c>
      <c r="K88" s="82" t="str">
        <f t="shared" si="24"/>
        <v>Perempuan</v>
      </c>
      <c r="L88" s="82" t="s">
        <v>88</v>
      </c>
      <c r="M88" s="372">
        <v>32649</v>
      </c>
      <c r="N88" s="373" t="str">
        <f ca="1" t="shared" si="15"/>
        <v>36 Tahun 5 Bulan </v>
      </c>
      <c r="O88" s="374" t="str">
        <f t="shared" si="10"/>
        <v>21 May 1989</v>
      </c>
      <c r="P88" s="146">
        <f ca="1" t="shared" si="21"/>
        <v>36</v>
      </c>
      <c r="Q88" s="146" t="str">
        <f ca="1" t="shared" si="22"/>
        <v>OKE</v>
      </c>
      <c r="R88" s="389" t="s">
        <v>1218</v>
      </c>
      <c r="S88" s="289"/>
      <c r="T88" s="147" t="s">
        <v>156</v>
      </c>
      <c r="U88" s="145" t="s">
        <v>83</v>
      </c>
      <c r="V88" s="237" t="s">
        <v>1154</v>
      </c>
      <c r="W88" s="147" t="s">
        <v>112</v>
      </c>
      <c r="X88" s="184" t="s">
        <v>1219</v>
      </c>
      <c r="Y88" s="141">
        <v>0</v>
      </c>
      <c r="Z88" s="141">
        <v>0</v>
      </c>
      <c r="AA88" s="141" t="s">
        <v>156</v>
      </c>
      <c r="AB88" s="79" t="s">
        <v>423</v>
      </c>
      <c r="AC88" s="141">
        <v>77311</v>
      </c>
      <c r="AD88" s="77" t="s">
        <v>88</v>
      </c>
      <c r="AE88" s="147" t="s">
        <v>156</v>
      </c>
      <c r="AF88" s="594" t="s">
        <v>1220</v>
      </c>
      <c r="AG88" s="232" t="s">
        <v>1221</v>
      </c>
      <c r="AH88" s="147" t="s">
        <v>156</v>
      </c>
      <c r="AI88" s="147" t="s">
        <v>156</v>
      </c>
      <c r="AJ88" s="182" t="s">
        <v>1222</v>
      </c>
      <c r="AK88" s="234">
        <v>41276</v>
      </c>
      <c r="AL88" s="405" t="str">
        <f ca="1" t="shared" si="9"/>
        <v>12 Tahun 10 Bulan </v>
      </c>
      <c r="AM88" s="77" t="s">
        <v>309</v>
      </c>
      <c r="AN88" s="406" t="s">
        <v>93</v>
      </c>
      <c r="AO88" s="77" t="s">
        <v>1223</v>
      </c>
      <c r="AP88" s="147" t="s">
        <v>95</v>
      </c>
      <c r="AQ88" s="77" t="s">
        <v>1224</v>
      </c>
      <c r="AR88" s="147" t="s">
        <v>156</v>
      </c>
      <c r="AS88" s="81" t="s">
        <v>1225</v>
      </c>
      <c r="AT88" s="147" t="s">
        <v>156</v>
      </c>
      <c r="AU88" s="147" t="s">
        <v>156</v>
      </c>
      <c r="AV88" s="77" t="s">
        <v>1226</v>
      </c>
      <c r="AW88" s="275" t="s">
        <v>100</v>
      </c>
      <c r="AX88" s="182" t="s">
        <v>370</v>
      </c>
      <c r="AY88" s="77" t="s">
        <v>1227</v>
      </c>
      <c r="AZ88" s="147" t="s">
        <v>156</v>
      </c>
      <c r="BA88" s="147" t="s">
        <v>156</v>
      </c>
      <c r="BB88" s="147" t="s">
        <v>156</v>
      </c>
      <c r="BC88" s="77" t="s">
        <v>1228</v>
      </c>
      <c r="BD88" s="418"/>
      <c r="BE88" s="418">
        <v>26</v>
      </c>
      <c r="BF88" s="418">
        <f t="shared" si="23"/>
        <v>26</v>
      </c>
      <c r="BG88" s="77" t="s">
        <v>1229</v>
      </c>
      <c r="BH88" s="289" t="s">
        <v>105</v>
      </c>
      <c r="BI88" s="81" t="s">
        <v>1166</v>
      </c>
      <c r="BJ88" s="82" t="s">
        <v>1217</v>
      </c>
      <c r="BK88" s="426" t="s">
        <v>1230</v>
      </c>
      <c r="BM88" s="432"/>
    </row>
    <row r="89" s="292" customFormat="1" ht="35.25" customHeight="1" spans="1:65">
      <c r="A89" s="54">
        <v>84</v>
      </c>
      <c r="B89" s="184" t="s">
        <v>1231</v>
      </c>
      <c r="C89" s="82" t="s">
        <v>509</v>
      </c>
      <c r="D89" s="82" t="s">
        <v>76</v>
      </c>
      <c r="E89" s="82" t="s">
        <v>1148</v>
      </c>
      <c r="F89" s="289"/>
      <c r="G89" s="82" t="s">
        <v>386</v>
      </c>
      <c r="H89" s="82" t="s">
        <v>177</v>
      </c>
      <c r="I89" s="82" t="str">
        <f t="shared" si="14"/>
        <v>Nurjayanti, S.Pd</v>
      </c>
      <c r="J89" s="147" t="s">
        <v>80</v>
      </c>
      <c r="K89" s="82" t="str">
        <f t="shared" si="24"/>
        <v>Perempuan</v>
      </c>
      <c r="L89" s="82" t="s">
        <v>1232</v>
      </c>
      <c r="M89" s="372">
        <v>32509</v>
      </c>
      <c r="N89" s="373" t="str">
        <f ca="1" t="shared" si="15"/>
        <v>36 Tahun 10 Bulan </v>
      </c>
      <c r="O89" s="374" t="str">
        <f t="shared" si="10"/>
        <v>01 January 1989</v>
      </c>
      <c r="P89" s="146">
        <f ca="1" t="shared" si="21"/>
        <v>36</v>
      </c>
      <c r="Q89" s="146" t="str">
        <f ca="1" t="shared" si="22"/>
        <v>OKE</v>
      </c>
      <c r="R89" s="389" t="s">
        <v>1233</v>
      </c>
      <c r="S89" s="289"/>
      <c r="T89" s="147" t="s">
        <v>156</v>
      </c>
      <c r="U89" s="145" t="s">
        <v>83</v>
      </c>
      <c r="V89" s="237" t="s">
        <v>1154</v>
      </c>
      <c r="W89" s="147" t="s">
        <v>112</v>
      </c>
      <c r="X89" s="184" t="s">
        <v>1234</v>
      </c>
      <c r="Y89" s="141">
        <v>15</v>
      </c>
      <c r="Z89" s="141">
        <v>0</v>
      </c>
      <c r="AA89" s="141" t="s">
        <v>156</v>
      </c>
      <c r="AB89" s="79" t="s">
        <v>209</v>
      </c>
      <c r="AC89" s="141">
        <v>77352</v>
      </c>
      <c r="AD89" s="77" t="s">
        <v>88</v>
      </c>
      <c r="AE89" s="147" t="s">
        <v>156</v>
      </c>
      <c r="AF89" s="594" t="s">
        <v>1235</v>
      </c>
      <c r="AG89" s="232" t="s">
        <v>1236</v>
      </c>
      <c r="AH89" s="147" t="s">
        <v>156</v>
      </c>
      <c r="AI89" s="147" t="s">
        <v>156</v>
      </c>
      <c r="AJ89" s="408" t="s">
        <v>1237</v>
      </c>
      <c r="AK89" s="234">
        <v>42736</v>
      </c>
      <c r="AL89" s="405" t="str">
        <f ca="1" t="shared" si="9"/>
        <v>8 Tahun 10 Bulan </v>
      </c>
      <c r="AM89" s="77" t="s">
        <v>1238</v>
      </c>
      <c r="AN89" s="406" t="s">
        <v>93</v>
      </c>
      <c r="AO89" s="77" t="s">
        <v>1239</v>
      </c>
      <c r="AP89" s="147" t="s">
        <v>95</v>
      </c>
      <c r="AQ89" s="77" t="s">
        <v>1240</v>
      </c>
      <c r="AR89" s="147" t="s">
        <v>156</v>
      </c>
      <c r="AS89" s="81" t="s">
        <v>188</v>
      </c>
      <c r="AT89" s="147" t="s">
        <v>156</v>
      </c>
      <c r="AU89" s="147" t="s">
        <v>156</v>
      </c>
      <c r="AV89" s="595" t="s">
        <v>1241</v>
      </c>
      <c r="AW89" s="275" t="s">
        <v>100</v>
      </c>
      <c r="AX89" s="182" t="s">
        <v>101</v>
      </c>
      <c r="AY89" s="77" t="s">
        <v>1242</v>
      </c>
      <c r="AZ89" s="147" t="s">
        <v>156</v>
      </c>
      <c r="BA89" s="147" t="s">
        <v>156</v>
      </c>
      <c r="BB89" s="77" t="s">
        <v>235</v>
      </c>
      <c r="BC89" s="77" t="s">
        <v>1243</v>
      </c>
      <c r="BD89" s="418"/>
      <c r="BE89" s="418">
        <v>24</v>
      </c>
      <c r="BF89" s="418">
        <f t="shared" si="23"/>
        <v>24</v>
      </c>
      <c r="BG89" s="77" t="s">
        <v>190</v>
      </c>
      <c r="BH89" s="289" t="s">
        <v>105</v>
      </c>
      <c r="BI89" s="81" t="s">
        <v>1166</v>
      </c>
      <c r="BJ89" s="82" t="s">
        <v>386</v>
      </c>
      <c r="BK89" s="199" t="s">
        <v>1244</v>
      </c>
      <c r="BM89" s="432"/>
    </row>
    <row r="90" s="292" customFormat="1" ht="35.25" customHeight="1" spans="1:65">
      <c r="A90" s="54">
        <v>85</v>
      </c>
      <c r="B90" s="184" t="s">
        <v>1245</v>
      </c>
      <c r="C90" s="82" t="s">
        <v>509</v>
      </c>
      <c r="D90" s="82" t="s">
        <v>76</v>
      </c>
      <c r="E90" s="82" t="s">
        <v>1148</v>
      </c>
      <c r="F90" s="289"/>
      <c r="G90" s="82" t="s">
        <v>1246</v>
      </c>
      <c r="H90" s="82" t="s">
        <v>287</v>
      </c>
      <c r="I90" s="82" t="str">
        <f t="shared" si="14"/>
        <v>Herlina Wati, A.Md</v>
      </c>
      <c r="J90" s="147" t="s">
        <v>80</v>
      </c>
      <c r="K90" s="82" t="str">
        <f t="shared" si="24"/>
        <v>Perempuan</v>
      </c>
      <c r="L90" s="82" t="s">
        <v>88</v>
      </c>
      <c r="M90" s="372">
        <v>31395</v>
      </c>
      <c r="N90" s="373" t="str">
        <f ca="1" t="shared" si="15"/>
        <v>39 Tahun 10 Bulan </v>
      </c>
      <c r="O90" s="374" t="str">
        <f t="shared" si="10"/>
        <v>14 December 1985</v>
      </c>
      <c r="P90" s="146">
        <f ca="1" t="shared" si="21"/>
        <v>39</v>
      </c>
      <c r="Q90" s="146" t="str">
        <f ca="1" t="shared" si="22"/>
        <v>OKE</v>
      </c>
      <c r="R90" s="389" t="s">
        <v>1247</v>
      </c>
      <c r="S90" s="289"/>
      <c r="T90" s="391" t="s">
        <v>1248</v>
      </c>
      <c r="U90" s="182" t="s">
        <v>129</v>
      </c>
      <c r="V90" s="237" t="s">
        <v>1154</v>
      </c>
      <c r="W90" s="147" t="s">
        <v>112</v>
      </c>
      <c r="X90" s="184" t="s">
        <v>1249</v>
      </c>
      <c r="Y90" s="141">
        <v>21</v>
      </c>
      <c r="Z90" s="141">
        <v>0</v>
      </c>
      <c r="AA90" s="141" t="s">
        <v>156</v>
      </c>
      <c r="AB90" s="79" t="s">
        <v>87</v>
      </c>
      <c r="AC90" s="141">
        <v>77312</v>
      </c>
      <c r="AD90" s="77" t="s">
        <v>88</v>
      </c>
      <c r="AE90" s="147" t="s">
        <v>156</v>
      </c>
      <c r="AF90" s="79" t="s">
        <v>1250</v>
      </c>
      <c r="AG90" s="232" t="s">
        <v>1251</v>
      </c>
      <c r="AH90" s="147" t="s">
        <v>156</v>
      </c>
      <c r="AI90" s="147" t="s">
        <v>156</v>
      </c>
      <c r="AJ90" s="182" t="s">
        <v>1252</v>
      </c>
      <c r="AK90" s="234">
        <v>39448</v>
      </c>
      <c r="AL90" s="405" t="str">
        <f ca="1" t="shared" si="9"/>
        <v>17 Tahun 10 Bulan </v>
      </c>
      <c r="AM90" s="77" t="s">
        <v>309</v>
      </c>
      <c r="AN90" s="406" t="s">
        <v>93</v>
      </c>
      <c r="AO90" s="77" t="s">
        <v>1253</v>
      </c>
      <c r="AP90" s="147" t="s">
        <v>95</v>
      </c>
      <c r="AQ90" s="77" t="s">
        <v>1254</v>
      </c>
      <c r="AR90" s="147" t="s">
        <v>156</v>
      </c>
      <c r="AS90" s="81" t="s">
        <v>155</v>
      </c>
      <c r="AT90" s="147" t="s">
        <v>156</v>
      </c>
      <c r="AU90" s="147" t="s">
        <v>156</v>
      </c>
      <c r="AV90" s="77" t="s">
        <v>1255</v>
      </c>
      <c r="AW90" s="275" t="s">
        <v>100</v>
      </c>
      <c r="AX90" s="182" t="s">
        <v>299</v>
      </c>
      <c r="AY90" s="419" t="s">
        <v>1256</v>
      </c>
      <c r="AZ90" s="147" t="s">
        <v>156</v>
      </c>
      <c r="BA90" s="147" t="s">
        <v>156</v>
      </c>
      <c r="BB90" s="147" t="s">
        <v>156</v>
      </c>
      <c r="BC90" s="147" t="s">
        <v>156</v>
      </c>
      <c r="BD90" s="289"/>
      <c r="BE90" s="427"/>
      <c r="BF90" s="289">
        <f t="shared" ref="BF90:BF94" si="25">BE90+BD90</f>
        <v>0</v>
      </c>
      <c r="BG90" s="258" t="s">
        <v>156</v>
      </c>
      <c r="BH90" s="289" t="s">
        <v>105</v>
      </c>
      <c r="BI90" s="82" t="s">
        <v>88</v>
      </c>
      <c r="BJ90" s="82" t="s">
        <v>1246</v>
      </c>
      <c r="BK90" s="426" t="s">
        <v>1257</v>
      </c>
      <c r="BM90" s="432"/>
    </row>
    <row r="91" s="292" customFormat="1" ht="35.25" customHeight="1" spans="1:65">
      <c r="A91" s="54">
        <v>86</v>
      </c>
      <c r="B91" s="184" t="s">
        <v>1258</v>
      </c>
      <c r="C91" s="82" t="s">
        <v>509</v>
      </c>
      <c r="D91" s="82" t="s">
        <v>76</v>
      </c>
      <c r="E91" s="82" t="s">
        <v>1148</v>
      </c>
      <c r="F91" s="289"/>
      <c r="G91" s="82" t="s">
        <v>1259</v>
      </c>
      <c r="H91" s="82"/>
      <c r="I91" s="82" t="str">
        <f t="shared" si="14"/>
        <v>Dwi Ayoe Lestari</v>
      </c>
      <c r="J91" s="147" t="s">
        <v>80</v>
      </c>
      <c r="K91" s="82" t="str">
        <f t="shared" si="24"/>
        <v>Perempuan</v>
      </c>
      <c r="L91" s="82" t="s">
        <v>88</v>
      </c>
      <c r="M91" s="372">
        <v>33092</v>
      </c>
      <c r="N91" s="373" t="str">
        <f ca="1" t="shared" si="15"/>
        <v>35 Tahun 2 Bulan </v>
      </c>
      <c r="O91" s="374" t="str">
        <f t="shared" si="10"/>
        <v>07 August 1990</v>
      </c>
      <c r="P91" s="146">
        <f ca="1" t="shared" si="21"/>
        <v>35</v>
      </c>
      <c r="Q91" s="146" t="str">
        <f ca="1" t="shared" si="22"/>
        <v>OKE</v>
      </c>
      <c r="R91" s="389" t="s">
        <v>1260</v>
      </c>
      <c r="S91" s="289"/>
      <c r="T91" s="390" t="s">
        <v>1261</v>
      </c>
      <c r="U91" s="182" t="s">
        <v>129</v>
      </c>
      <c r="V91" s="237" t="s">
        <v>1154</v>
      </c>
      <c r="W91" s="147" t="s">
        <v>112</v>
      </c>
      <c r="X91" s="184" t="s">
        <v>1262</v>
      </c>
      <c r="Y91" s="141">
        <v>7</v>
      </c>
      <c r="Z91" s="141">
        <v>4</v>
      </c>
      <c r="AA91" s="141" t="s">
        <v>156</v>
      </c>
      <c r="AB91" s="79" t="s">
        <v>131</v>
      </c>
      <c r="AC91" s="141">
        <v>77315</v>
      </c>
      <c r="AD91" s="77" t="s">
        <v>88</v>
      </c>
      <c r="AE91" s="147" t="s">
        <v>156</v>
      </c>
      <c r="AF91" s="79" t="s">
        <v>1263</v>
      </c>
      <c r="AG91" s="232" t="s">
        <v>1264</v>
      </c>
      <c r="AH91" s="147" t="s">
        <v>156</v>
      </c>
      <c r="AI91" s="147" t="s">
        <v>156</v>
      </c>
      <c r="AJ91" s="182" t="s">
        <v>1265</v>
      </c>
      <c r="AK91" s="234">
        <v>39630</v>
      </c>
      <c r="AL91" s="405" t="str">
        <f ca="1" t="shared" si="9"/>
        <v>17 Tahun 4 Bulan </v>
      </c>
      <c r="AM91" s="77" t="s">
        <v>309</v>
      </c>
      <c r="AN91" s="406" t="s">
        <v>93</v>
      </c>
      <c r="AO91" s="77" t="s">
        <v>1266</v>
      </c>
      <c r="AP91" s="147" t="s">
        <v>95</v>
      </c>
      <c r="AQ91" s="77" t="s">
        <v>1267</v>
      </c>
      <c r="AR91" s="147" t="s">
        <v>156</v>
      </c>
      <c r="AS91" s="81" t="s">
        <v>155</v>
      </c>
      <c r="AT91" s="147" t="s">
        <v>156</v>
      </c>
      <c r="AU91" s="147" t="s">
        <v>156</v>
      </c>
      <c r="AV91" s="77" t="s">
        <v>1268</v>
      </c>
      <c r="AW91" s="275" t="s">
        <v>100</v>
      </c>
      <c r="AX91" s="182" t="s">
        <v>1269</v>
      </c>
      <c r="AY91" s="77" t="s">
        <v>234</v>
      </c>
      <c r="AZ91" s="147" t="s">
        <v>156</v>
      </c>
      <c r="BA91" s="147" t="s">
        <v>156</v>
      </c>
      <c r="BB91" s="147" t="s">
        <v>156</v>
      </c>
      <c r="BC91" s="147" t="s">
        <v>156</v>
      </c>
      <c r="BD91" s="289"/>
      <c r="BE91" s="427"/>
      <c r="BF91" s="289">
        <f t="shared" si="25"/>
        <v>0</v>
      </c>
      <c r="BG91" s="258" t="s">
        <v>156</v>
      </c>
      <c r="BH91" s="289" t="s">
        <v>105</v>
      </c>
      <c r="BI91" s="81" t="s">
        <v>1166</v>
      </c>
      <c r="BJ91" s="82" t="s">
        <v>1259</v>
      </c>
      <c r="BK91" s="426" t="s">
        <v>1270</v>
      </c>
      <c r="BM91" s="432"/>
    </row>
    <row r="92" s="292" customFormat="1" ht="35.25" customHeight="1" spans="1:65">
      <c r="A92" s="54">
        <v>87</v>
      </c>
      <c r="B92" s="184" t="s">
        <v>1271</v>
      </c>
      <c r="C92" s="82" t="s">
        <v>509</v>
      </c>
      <c r="D92" s="82" t="s">
        <v>76</v>
      </c>
      <c r="E92" s="82" t="s">
        <v>1148</v>
      </c>
      <c r="F92" s="289"/>
      <c r="G92" s="82" t="s">
        <v>1272</v>
      </c>
      <c r="H92" s="82"/>
      <c r="I92" s="82" t="str">
        <f t="shared" si="14"/>
        <v>Julailah</v>
      </c>
      <c r="J92" s="147" t="s">
        <v>80</v>
      </c>
      <c r="K92" s="82" t="str">
        <f t="shared" si="24"/>
        <v>Perempuan</v>
      </c>
      <c r="L92" s="82" t="s">
        <v>88</v>
      </c>
      <c r="M92" s="372">
        <v>33743</v>
      </c>
      <c r="N92" s="373" t="str">
        <f ca="1" t="shared" si="15"/>
        <v>33 Tahun 5 Bulan </v>
      </c>
      <c r="O92" s="374" t="str">
        <f t="shared" si="10"/>
        <v>19 May 1992</v>
      </c>
      <c r="P92" s="146">
        <f ca="1" t="shared" si="21"/>
        <v>33</v>
      </c>
      <c r="Q92" s="146" t="str">
        <f ca="1" t="shared" si="22"/>
        <v>OKE</v>
      </c>
      <c r="R92" s="389" t="s">
        <v>1273</v>
      </c>
      <c r="S92" s="289"/>
      <c r="T92" s="147" t="s">
        <v>156</v>
      </c>
      <c r="U92" s="182" t="s">
        <v>129</v>
      </c>
      <c r="V92" s="237" t="s">
        <v>1154</v>
      </c>
      <c r="W92" s="147" t="s">
        <v>112</v>
      </c>
      <c r="X92" s="184" t="s">
        <v>1274</v>
      </c>
      <c r="Y92" s="141">
        <v>19</v>
      </c>
      <c r="Z92" s="141">
        <v>0</v>
      </c>
      <c r="AA92" s="141" t="s">
        <v>156</v>
      </c>
      <c r="AB92" s="79" t="s">
        <v>450</v>
      </c>
      <c r="AC92" s="141">
        <v>77371</v>
      </c>
      <c r="AD92" s="77" t="s">
        <v>88</v>
      </c>
      <c r="AE92" s="147" t="s">
        <v>156</v>
      </c>
      <c r="AF92" s="79" t="s">
        <v>1275</v>
      </c>
      <c r="AG92" s="232" t="s">
        <v>1276</v>
      </c>
      <c r="AH92" s="147" t="s">
        <v>156</v>
      </c>
      <c r="AI92" s="147" t="s">
        <v>156</v>
      </c>
      <c r="AJ92" s="182" t="s">
        <v>1277</v>
      </c>
      <c r="AK92" s="407" t="s">
        <v>1208</v>
      </c>
      <c r="AL92" s="405" t="str">
        <f ca="1" t="shared" si="9"/>
        <v>12 Tahun 10 Bulan </v>
      </c>
      <c r="AM92" s="77" t="s">
        <v>309</v>
      </c>
      <c r="AN92" s="406" t="s">
        <v>93</v>
      </c>
      <c r="AO92" s="77" t="s">
        <v>1278</v>
      </c>
      <c r="AP92" s="147" t="s">
        <v>95</v>
      </c>
      <c r="AQ92" s="77" t="s">
        <v>1279</v>
      </c>
      <c r="AR92" s="147" t="s">
        <v>156</v>
      </c>
      <c r="AS92" s="81" t="s">
        <v>155</v>
      </c>
      <c r="AT92" s="147" t="s">
        <v>156</v>
      </c>
      <c r="AU92" s="147" t="s">
        <v>156</v>
      </c>
      <c r="AV92" s="77" t="s">
        <v>1280</v>
      </c>
      <c r="AW92" s="275" t="s">
        <v>100</v>
      </c>
      <c r="AX92" s="182" t="s">
        <v>1269</v>
      </c>
      <c r="AY92" s="77" t="s">
        <v>1086</v>
      </c>
      <c r="AZ92" s="147" t="s">
        <v>156</v>
      </c>
      <c r="BA92" s="147" t="s">
        <v>156</v>
      </c>
      <c r="BB92" s="147" t="s">
        <v>156</v>
      </c>
      <c r="BC92" s="147" t="s">
        <v>156</v>
      </c>
      <c r="BD92" s="289"/>
      <c r="BE92" s="427"/>
      <c r="BF92" s="289">
        <f t="shared" si="25"/>
        <v>0</v>
      </c>
      <c r="BG92" s="258" t="s">
        <v>156</v>
      </c>
      <c r="BH92" s="289" t="s">
        <v>105</v>
      </c>
      <c r="BI92" s="81" t="s">
        <v>1166</v>
      </c>
      <c r="BJ92" s="82" t="s">
        <v>1272</v>
      </c>
      <c r="BK92" s="426" t="s">
        <v>1281</v>
      </c>
      <c r="BM92" s="432"/>
    </row>
    <row r="93" s="292" customFormat="1" ht="35.25" customHeight="1" spans="1:65">
      <c r="A93" s="54">
        <v>88</v>
      </c>
      <c r="B93" s="184" t="s">
        <v>1282</v>
      </c>
      <c r="C93" s="82" t="s">
        <v>509</v>
      </c>
      <c r="D93" s="82" t="s">
        <v>76</v>
      </c>
      <c r="E93" s="82" t="s">
        <v>1148</v>
      </c>
      <c r="F93" s="289"/>
      <c r="G93" s="82" t="s">
        <v>1283</v>
      </c>
      <c r="H93" s="82"/>
      <c r="I93" s="82" t="str">
        <f t="shared" si="14"/>
        <v>Amir</v>
      </c>
      <c r="J93" s="147" t="s">
        <v>127</v>
      </c>
      <c r="K93" s="82" t="str">
        <f t="shared" si="24"/>
        <v>Laki-laki</v>
      </c>
      <c r="L93" s="82" t="s">
        <v>88</v>
      </c>
      <c r="M93" s="372">
        <v>25924</v>
      </c>
      <c r="N93" s="373" t="str">
        <f ca="1" t="shared" si="15"/>
        <v>54 Tahun 10 Bulan </v>
      </c>
      <c r="O93" s="374" t="str">
        <f t="shared" si="10"/>
        <v>22 December 1970</v>
      </c>
      <c r="P93" s="146">
        <f ca="1" t="shared" si="21"/>
        <v>54</v>
      </c>
      <c r="Q93" s="146" t="str">
        <f ca="1" t="shared" si="22"/>
        <v>OKE</v>
      </c>
      <c r="R93" s="389" t="s">
        <v>1284</v>
      </c>
      <c r="S93" s="289"/>
      <c r="T93" s="390" t="s">
        <v>1285</v>
      </c>
      <c r="U93" s="182" t="s">
        <v>750</v>
      </c>
      <c r="V93" s="237" t="s">
        <v>1154</v>
      </c>
      <c r="W93" s="147" t="s">
        <v>112</v>
      </c>
      <c r="X93" s="184" t="s">
        <v>1286</v>
      </c>
      <c r="Y93" s="141">
        <v>13</v>
      </c>
      <c r="Z93" s="141">
        <v>0</v>
      </c>
      <c r="AA93" s="141" t="s">
        <v>156</v>
      </c>
      <c r="AB93" s="79" t="s">
        <v>88</v>
      </c>
      <c r="AC93" s="141">
        <v>77311</v>
      </c>
      <c r="AD93" s="77" t="s">
        <v>88</v>
      </c>
      <c r="AE93" s="147" t="s">
        <v>156</v>
      </c>
      <c r="AF93" s="79" t="s">
        <v>1287</v>
      </c>
      <c r="AG93" s="236" t="s">
        <v>1288</v>
      </c>
      <c r="AH93" s="147" t="s">
        <v>156</v>
      </c>
      <c r="AI93" s="147" t="s">
        <v>156</v>
      </c>
      <c r="AJ93" s="182" t="s">
        <v>1289</v>
      </c>
      <c r="AK93" s="234">
        <v>39630</v>
      </c>
      <c r="AL93" s="405" t="str">
        <f ca="1" t="shared" si="9"/>
        <v>17 Tahun 4 Bulan </v>
      </c>
      <c r="AM93" s="77" t="s">
        <v>309</v>
      </c>
      <c r="AN93" s="406" t="s">
        <v>93</v>
      </c>
      <c r="AO93" s="77" t="s">
        <v>1290</v>
      </c>
      <c r="AP93" s="147" t="s">
        <v>95</v>
      </c>
      <c r="AQ93" s="77" t="s">
        <v>1291</v>
      </c>
      <c r="AR93" s="147" t="s">
        <v>156</v>
      </c>
      <c r="AS93" s="81" t="s">
        <v>941</v>
      </c>
      <c r="AT93" s="147" t="s">
        <v>156</v>
      </c>
      <c r="AU93" s="147" t="s">
        <v>156</v>
      </c>
      <c r="AV93" s="77" t="s">
        <v>1292</v>
      </c>
      <c r="AW93" s="275" t="s">
        <v>100</v>
      </c>
      <c r="AX93" s="182" t="s">
        <v>1269</v>
      </c>
      <c r="AY93" s="419" t="s">
        <v>1293</v>
      </c>
      <c r="AZ93" s="147" t="s">
        <v>156</v>
      </c>
      <c r="BA93" s="147" t="s">
        <v>156</v>
      </c>
      <c r="BB93" s="147" t="s">
        <v>156</v>
      </c>
      <c r="BC93" s="147" t="s">
        <v>156</v>
      </c>
      <c r="BD93" s="289"/>
      <c r="BE93" s="427"/>
      <c r="BF93" s="289">
        <f t="shared" si="25"/>
        <v>0</v>
      </c>
      <c r="BG93" s="258" t="s">
        <v>156</v>
      </c>
      <c r="BH93" s="289" t="s">
        <v>105</v>
      </c>
      <c r="BI93" s="81" t="s">
        <v>1166</v>
      </c>
      <c r="BJ93" s="82" t="s">
        <v>1283</v>
      </c>
      <c r="BK93" s="426" t="s">
        <v>1294</v>
      </c>
      <c r="BM93" s="432"/>
    </row>
    <row r="94" s="292" customFormat="1" ht="35.25" customHeight="1" spans="1:65">
      <c r="A94" s="54">
        <v>89</v>
      </c>
      <c r="B94" s="184" t="s">
        <v>1295</v>
      </c>
      <c r="C94" s="82" t="s">
        <v>509</v>
      </c>
      <c r="D94" s="82" t="s">
        <v>76</v>
      </c>
      <c r="E94" s="82" t="s">
        <v>1148</v>
      </c>
      <c r="F94" s="289"/>
      <c r="G94" s="82" t="s">
        <v>1296</v>
      </c>
      <c r="H94" s="82"/>
      <c r="I94" s="82" t="str">
        <f t="shared" si="14"/>
        <v>Setyo Wahyono</v>
      </c>
      <c r="J94" s="147" t="s">
        <v>127</v>
      </c>
      <c r="K94" s="82" t="str">
        <f t="shared" si="24"/>
        <v>Laki-laki</v>
      </c>
      <c r="L94" s="82" t="s">
        <v>1297</v>
      </c>
      <c r="M94" s="372">
        <v>30108</v>
      </c>
      <c r="N94" s="373" t="str">
        <f ca="1" t="shared" si="15"/>
        <v>43 Tahun 4 Bulan </v>
      </c>
      <c r="O94" s="374" t="str">
        <f t="shared" si="10"/>
        <v>06 June 1982</v>
      </c>
      <c r="P94" s="146">
        <f ca="1" t="shared" si="21"/>
        <v>43</v>
      </c>
      <c r="Q94" s="146" t="str">
        <f ca="1" t="shared" si="22"/>
        <v>OKE</v>
      </c>
      <c r="R94" s="389" t="s">
        <v>1298</v>
      </c>
      <c r="S94" s="289"/>
      <c r="T94" s="147" t="s">
        <v>156</v>
      </c>
      <c r="U94" s="182" t="s">
        <v>848</v>
      </c>
      <c r="V94" s="237" t="s">
        <v>1154</v>
      </c>
      <c r="W94" s="147" t="s">
        <v>112</v>
      </c>
      <c r="X94" s="184" t="s">
        <v>1299</v>
      </c>
      <c r="Y94" s="141">
        <v>0</v>
      </c>
      <c r="Z94" s="141">
        <v>0</v>
      </c>
      <c r="AA94" s="141" t="s">
        <v>156</v>
      </c>
      <c r="AB94" s="79" t="s">
        <v>381</v>
      </c>
      <c r="AC94" s="141">
        <v>77314</v>
      </c>
      <c r="AD94" s="77" t="s">
        <v>88</v>
      </c>
      <c r="AE94" s="147" t="s">
        <v>156</v>
      </c>
      <c r="AF94" s="594" t="s">
        <v>1300</v>
      </c>
      <c r="AG94" s="232" t="s">
        <v>1301</v>
      </c>
      <c r="AH94" s="147" t="s">
        <v>156</v>
      </c>
      <c r="AI94" s="147" t="s">
        <v>156</v>
      </c>
      <c r="AJ94" s="182" t="s">
        <v>1302</v>
      </c>
      <c r="AK94" s="409">
        <v>40026</v>
      </c>
      <c r="AL94" s="405" t="str">
        <f ca="1" t="shared" si="9"/>
        <v>16 Tahun 3 Bulan </v>
      </c>
      <c r="AM94" s="77" t="s">
        <v>309</v>
      </c>
      <c r="AN94" s="406" t="s">
        <v>93</v>
      </c>
      <c r="AO94" s="77" t="s">
        <v>1303</v>
      </c>
      <c r="AP94" s="147" t="s">
        <v>95</v>
      </c>
      <c r="AQ94" s="77" t="s">
        <v>1304</v>
      </c>
      <c r="AR94" s="147" t="s">
        <v>156</v>
      </c>
      <c r="AS94" s="81" t="s">
        <v>941</v>
      </c>
      <c r="AT94" s="147" t="s">
        <v>156</v>
      </c>
      <c r="AU94" s="147" t="s">
        <v>156</v>
      </c>
      <c r="AV94" s="596" t="s">
        <v>1305</v>
      </c>
      <c r="AW94" s="275" t="s">
        <v>100</v>
      </c>
      <c r="AX94" s="182" t="s">
        <v>1269</v>
      </c>
      <c r="AY94" s="419" t="s">
        <v>234</v>
      </c>
      <c r="AZ94" s="147" t="s">
        <v>156</v>
      </c>
      <c r="BA94" s="147" t="s">
        <v>156</v>
      </c>
      <c r="BB94" s="147" t="s">
        <v>156</v>
      </c>
      <c r="BC94" s="147" t="s">
        <v>156</v>
      </c>
      <c r="BD94" s="289"/>
      <c r="BE94" s="427"/>
      <c r="BF94" s="289">
        <f t="shared" si="25"/>
        <v>0</v>
      </c>
      <c r="BG94" s="258" t="s">
        <v>156</v>
      </c>
      <c r="BH94" s="289" t="s">
        <v>105</v>
      </c>
      <c r="BI94" s="81" t="s">
        <v>1166</v>
      </c>
      <c r="BJ94" s="82" t="s">
        <v>1296</v>
      </c>
      <c r="BK94" s="426" t="s">
        <v>1306</v>
      </c>
      <c r="BM94" s="432"/>
    </row>
    <row r="95" s="1" customFormat="1" spans="1:65">
      <c r="A95" s="54">
        <v>90</v>
      </c>
      <c r="B95" s="58">
        <v>5346</v>
      </c>
      <c r="C95" s="50" t="s">
        <v>658</v>
      </c>
      <c r="D95" s="58" t="s">
        <v>76</v>
      </c>
      <c r="E95" s="50" t="s">
        <v>1307</v>
      </c>
      <c r="F95" s="558" t="s">
        <v>156</v>
      </c>
      <c r="G95" s="50" t="s">
        <v>1308</v>
      </c>
      <c r="H95" s="50" t="s">
        <v>1309</v>
      </c>
      <c r="I95" s="113" t="str">
        <f t="shared" si="14"/>
        <v>Dwi Zayanti, S. Pd</v>
      </c>
      <c r="J95" s="50" t="s">
        <v>80</v>
      </c>
      <c r="K95" s="82" t="str">
        <f t="shared" si="24"/>
        <v>Perempuan</v>
      </c>
      <c r="L95" s="50" t="s">
        <v>1310</v>
      </c>
      <c r="M95" s="122">
        <v>31759</v>
      </c>
      <c r="N95" s="375" t="str">
        <f ca="1" t="shared" si="15"/>
        <v>38 Tahun 10 Bulan </v>
      </c>
      <c r="O95" s="306">
        <v>31759</v>
      </c>
      <c r="P95" s="146">
        <f ca="1" t="shared" si="21"/>
        <v>38</v>
      </c>
      <c r="Q95" s="146" t="str">
        <f ca="1" t="shared" si="22"/>
        <v>OKE</v>
      </c>
      <c r="R95" s="576" t="s">
        <v>1311</v>
      </c>
      <c r="S95" s="53"/>
      <c r="T95" s="53"/>
      <c r="U95" s="50" t="s">
        <v>83</v>
      </c>
      <c r="V95" s="50" t="s">
        <v>84</v>
      </c>
      <c r="W95" s="50" t="s">
        <v>112</v>
      </c>
      <c r="X95" s="53" t="s">
        <v>1312</v>
      </c>
      <c r="Y95" s="557" t="s">
        <v>1313</v>
      </c>
      <c r="Z95" s="53"/>
      <c r="AA95" s="53"/>
      <c r="AB95" s="50" t="s">
        <v>1314</v>
      </c>
      <c r="AC95" s="36">
        <v>77373</v>
      </c>
      <c r="AD95" s="50" t="s">
        <v>1315</v>
      </c>
      <c r="AE95" s="53"/>
      <c r="AF95" s="557" t="s">
        <v>1316</v>
      </c>
      <c r="AG95" s="240" t="s">
        <v>1317</v>
      </c>
      <c r="AH95" s="53"/>
      <c r="AI95" s="53"/>
      <c r="AJ95" s="50" t="s">
        <v>1318</v>
      </c>
      <c r="AK95" s="241">
        <v>40179</v>
      </c>
      <c r="AL95" s="410" t="str">
        <f ca="1" t="shared" si="9"/>
        <v>15 Tahun 10 Bulan </v>
      </c>
      <c r="AM95" s="52" t="s">
        <v>92</v>
      </c>
      <c r="AN95" s="50" t="s">
        <v>93</v>
      </c>
      <c r="AO95" s="50" t="s">
        <v>1319</v>
      </c>
      <c r="AP95" s="324" t="s">
        <v>838</v>
      </c>
      <c r="AQ95" s="50" t="s">
        <v>1320</v>
      </c>
      <c r="AR95" s="558" t="s">
        <v>1321</v>
      </c>
      <c r="AS95" s="52" t="s">
        <v>98</v>
      </c>
      <c r="AT95" s="53" t="s">
        <v>1322</v>
      </c>
      <c r="AU95" s="50"/>
      <c r="AV95" s="558" t="s">
        <v>1323</v>
      </c>
      <c r="AW95" s="52" t="s">
        <v>100</v>
      </c>
      <c r="AX95" s="52" t="s">
        <v>101</v>
      </c>
      <c r="AY95" s="50" t="s">
        <v>974</v>
      </c>
      <c r="AZ95" s="53"/>
      <c r="BA95" s="53"/>
      <c r="BB95" s="50" t="s">
        <v>1324</v>
      </c>
      <c r="BC95" s="53" t="s">
        <v>1325</v>
      </c>
      <c r="BD95" s="53">
        <v>14</v>
      </c>
      <c r="BE95" s="53">
        <v>12</v>
      </c>
      <c r="BF95" s="53">
        <v>26</v>
      </c>
      <c r="BG95" s="53"/>
      <c r="BH95" s="281" t="s">
        <v>105</v>
      </c>
      <c r="BI95" s="50" t="s">
        <v>1314</v>
      </c>
      <c r="BJ95" s="53" t="s">
        <v>1308</v>
      </c>
      <c r="BK95" s="576" t="s">
        <v>1326</v>
      </c>
      <c r="BM95" s="284"/>
    </row>
    <row r="96" s="1" customFormat="1" spans="1:65">
      <c r="A96" s="54">
        <v>91</v>
      </c>
      <c r="B96" s="58">
        <v>2691</v>
      </c>
      <c r="C96" s="50" t="s">
        <v>658</v>
      </c>
      <c r="D96" s="58" t="s">
        <v>76</v>
      </c>
      <c r="E96" s="50" t="s">
        <v>1307</v>
      </c>
      <c r="F96" s="53"/>
      <c r="G96" s="50" t="s">
        <v>1327</v>
      </c>
      <c r="H96" s="50" t="s">
        <v>1328</v>
      </c>
      <c r="I96" s="113" t="str">
        <f t="shared" si="14"/>
        <v>AH.Yani Handoko, S.Pd.I</v>
      </c>
      <c r="J96" s="50" t="s">
        <v>127</v>
      </c>
      <c r="K96" s="82" t="str">
        <f t="shared" si="24"/>
        <v>Laki-laki</v>
      </c>
      <c r="L96" s="54" t="s">
        <v>1329</v>
      </c>
      <c r="M96" s="114">
        <v>29836</v>
      </c>
      <c r="N96" s="375" t="str">
        <f ca="1" t="shared" si="15"/>
        <v>44 Tahun 1 Bulan </v>
      </c>
      <c r="O96" s="306" t="str">
        <f t="shared" ref="O96" si="26">TEXT(M96,"DD MMMM YYYY")</f>
        <v>07 September 1981</v>
      </c>
      <c r="P96" s="146">
        <f ca="1" t="shared" si="21"/>
        <v>44</v>
      </c>
      <c r="Q96" s="146" t="str">
        <f ca="1" t="shared" si="22"/>
        <v>OKE</v>
      </c>
      <c r="R96" s="597" t="s">
        <v>1330</v>
      </c>
      <c r="S96" s="53"/>
      <c r="T96" s="560" t="s">
        <v>1331</v>
      </c>
      <c r="U96" s="50" t="s">
        <v>83</v>
      </c>
      <c r="V96" s="50" t="s">
        <v>84</v>
      </c>
      <c r="W96" s="50" t="s">
        <v>112</v>
      </c>
      <c r="X96" s="53" t="s">
        <v>1332</v>
      </c>
      <c r="Y96" s="50">
        <v>14</v>
      </c>
      <c r="Z96" s="53"/>
      <c r="AA96" s="53"/>
      <c r="AB96" s="50" t="s">
        <v>88</v>
      </c>
      <c r="AC96" s="54">
        <v>77311</v>
      </c>
      <c r="AD96" s="54" t="s">
        <v>88</v>
      </c>
      <c r="AE96" s="53"/>
      <c r="AF96" s="598" t="s">
        <v>1333</v>
      </c>
      <c r="AG96" s="238" t="s">
        <v>1334</v>
      </c>
      <c r="AH96" s="53"/>
      <c r="AI96" s="53"/>
      <c r="AJ96" s="54" t="s">
        <v>1335</v>
      </c>
      <c r="AK96" s="114">
        <v>39494</v>
      </c>
      <c r="AL96" s="410" t="str">
        <f ca="1" t="shared" si="9"/>
        <v>17 Tahun 8 Bulan </v>
      </c>
      <c r="AM96" s="50" t="s">
        <v>92</v>
      </c>
      <c r="AN96" s="50" t="s">
        <v>93</v>
      </c>
      <c r="AO96" s="54" t="s">
        <v>1336</v>
      </c>
      <c r="AP96" s="185" t="s">
        <v>297</v>
      </c>
      <c r="AQ96" s="50"/>
      <c r="AR96" s="53"/>
      <c r="AS96" s="50"/>
      <c r="AT96" s="53"/>
      <c r="AU96" s="50"/>
      <c r="AV96" s="54" t="s">
        <v>1337</v>
      </c>
      <c r="AW96" s="50" t="s">
        <v>100</v>
      </c>
      <c r="AX96" s="52" t="s">
        <v>101</v>
      </c>
      <c r="AY96" s="54" t="s">
        <v>550</v>
      </c>
      <c r="AZ96" s="53"/>
      <c r="BA96" s="53"/>
      <c r="BB96" s="54" t="s">
        <v>1338</v>
      </c>
      <c r="BC96" s="54" t="s">
        <v>1339</v>
      </c>
      <c r="BD96" s="54">
        <v>6</v>
      </c>
      <c r="BE96" s="54">
        <v>24</v>
      </c>
      <c r="BF96" s="54">
        <v>30</v>
      </c>
      <c r="BG96" s="54"/>
      <c r="BH96" s="54" t="s">
        <v>105</v>
      </c>
      <c r="BI96" s="54" t="s">
        <v>1314</v>
      </c>
      <c r="BJ96" s="54" t="s">
        <v>1340</v>
      </c>
      <c r="BK96" s="597" t="s">
        <v>1341</v>
      </c>
      <c r="BM96" s="284"/>
    </row>
    <row r="97" s="1" customFormat="1" spans="1:65">
      <c r="A97" s="54">
        <v>92</v>
      </c>
      <c r="B97" s="58">
        <v>2693</v>
      </c>
      <c r="C97" s="50" t="s">
        <v>658</v>
      </c>
      <c r="D97" s="58" t="s">
        <v>76</v>
      </c>
      <c r="E97" s="50" t="s">
        <v>1307</v>
      </c>
      <c r="F97" s="53"/>
      <c r="G97" s="50" t="s">
        <v>1342</v>
      </c>
      <c r="H97" s="50"/>
      <c r="I97" s="113" t="str">
        <f t="shared" si="14"/>
        <v>Ropika</v>
      </c>
      <c r="J97" s="50" t="s">
        <v>80</v>
      </c>
      <c r="K97" s="82" t="str">
        <f t="shared" si="24"/>
        <v>Perempuan</v>
      </c>
      <c r="L97" s="50" t="s">
        <v>1314</v>
      </c>
      <c r="M97" s="122">
        <v>30879</v>
      </c>
      <c r="N97" s="375" t="str">
        <f ca="1" t="shared" si="15"/>
        <v>41 Tahun 3 Bulan </v>
      </c>
      <c r="O97" s="122">
        <v>30879</v>
      </c>
      <c r="P97" s="146">
        <f ca="1" t="shared" si="21"/>
        <v>41</v>
      </c>
      <c r="Q97" s="146" t="str">
        <f ca="1" t="shared" si="22"/>
        <v>OKE</v>
      </c>
      <c r="R97" s="576" t="s">
        <v>1343</v>
      </c>
      <c r="S97" s="53"/>
      <c r="T97" s="558" t="s">
        <v>1344</v>
      </c>
      <c r="U97" s="52" t="s">
        <v>129</v>
      </c>
      <c r="V97" s="50" t="s">
        <v>84</v>
      </c>
      <c r="W97" s="50" t="s">
        <v>112</v>
      </c>
      <c r="X97" s="53" t="s">
        <v>1312</v>
      </c>
      <c r="Y97" s="557" t="s">
        <v>1313</v>
      </c>
      <c r="Z97" s="53"/>
      <c r="AA97" s="53"/>
      <c r="AB97" s="50" t="s">
        <v>1314</v>
      </c>
      <c r="AC97" s="36">
        <v>77373</v>
      </c>
      <c r="AD97" s="50" t="s">
        <v>1315</v>
      </c>
      <c r="AE97" s="53"/>
      <c r="AF97" s="557" t="s">
        <v>1345</v>
      </c>
      <c r="AG97" s="240" t="s">
        <v>1346</v>
      </c>
      <c r="AH97" s="53"/>
      <c r="AI97" s="53"/>
      <c r="AJ97" s="50" t="s">
        <v>1347</v>
      </c>
      <c r="AK97" s="50" t="s">
        <v>1348</v>
      </c>
      <c r="AL97" s="410" t="e">
        <f ca="1" t="shared" si="9"/>
        <v>#VALUE!</v>
      </c>
      <c r="AM97" s="50" t="s">
        <v>92</v>
      </c>
      <c r="AN97" s="50" t="s">
        <v>93</v>
      </c>
      <c r="AO97" s="50" t="s">
        <v>202</v>
      </c>
      <c r="AP97" s="36" t="s">
        <v>838</v>
      </c>
      <c r="AQ97" s="50" t="s">
        <v>1349</v>
      </c>
      <c r="AR97" s="53"/>
      <c r="AS97" s="50" t="s">
        <v>155</v>
      </c>
      <c r="AT97" s="53"/>
      <c r="AU97" s="50"/>
      <c r="AV97" s="53" t="s">
        <v>1350</v>
      </c>
      <c r="AW97" s="50" t="s">
        <v>100</v>
      </c>
      <c r="AX97" s="50" t="s">
        <v>120</v>
      </c>
      <c r="AY97" s="50" t="s">
        <v>1256</v>
      </c>
      <c r="AZ97" s="53"/>
      <c r="BA97" s="53"/>
      <c r="BB97" s="50"/>
      <c r="BC97" s="53"/>
      <c r="BD97" s="53"/>
      <c r="BE97" s="53"/>
      <c r="BF97" s="53"/>
      <c r="BG97" s="53"/>
      <c r="BH97" s="53" t="s">
        <v>105</v>
      </c>
      <c r="BI97" s="50" t="s">
        <v>1314</v>
      </c>
      <c r="BJ97" s="53" t="s">
        <v>1342</v>
      </c>
      <c r="BK97" s="576" t="s">
        <v>1351</v>
      </c>
      <c r="BM97" s="284"/>
    </row>
    <row r="98" s="1" customFormat="1" spans="1:65">
      <c r="A98" s="54">
        <v>93</v>
      </c>
      <c r="B98" s="58">
        <v>2694</v>
      </c>
      <c r="C98" s="50" t="s">
        <v>658</v>
      </c>
      <c r="D98" s="58" t="s">
        <v>76</v>
      </c>
      <c r="E98" s="50" t="s">
        <v>1307</v>
      </c>
      <c r="F98" s="53"/>
      <c r="G98" s="50" t="s">
        <v>1352</v>
      </c>
      <c r="H98" s="50"/>
      <c r="I98" s="113" t="str">
        <f t="shared" si="14"/>
        <v>Herni Jaya</v>
      </c>
      <c r="J98" s="50" t="s">
        <v>80</v>
      </c>
      <c r="K98" s="82" t="str">
        <f t="shared" si="24"/>
        <v>Perempuan</v>
      </c>
      <c r="L98" s="50" t="s">
        <v>1353</v>
      </c>
      <c r="M98" s="122">
        <v>32174</v>
      </c>
      <c r="N98" s="375" t="str">
        <f ca="1" t="shared" si="15"/>
        <v>37 Tahun 9 Bulan </v>
      </c>
      <c r="O98" s="122">
        <v>32174</v>
      </c>
      <c r="P98" s="146">
        <f ca="1" t="shared" si="21"/>
        <v>37</v>
      </c>
      <c r="Q98" s="146" t="str">
        <f ca="1" t="shared" si="22"/>
        <v>OKE</v>
      </c>
      <c r="R98" s="576" t="s">
        <v>1354</v>
      </c>
      <c r="S98" s="53"/>
      <c r="T98" s="53"/>
      <c r="U98" s="50" t="s">
        <v>129</v>
      </c>
      <c r="V98" s="50" t="s">
        <v>84</v>
      </c>
      <c r="W98" s="50" t="s">
        <v>112</v>
      </c>
      <c r="X98" s="53" t="s">
        <v>1355</v>
      </c>
      <c r="Y98" s="557" t="s">
        <v>1356</v>
      </c>
      <c r="Z98" s="53"/>
      <c r="AA98" s="53"/>
      <c r="AB98" s="50" t="s">
        <v>1314</v>
      </c>
      <c r="AC98" s="36">
        <v>77373</v>
      </c>
      <c r="AD98" s="50" t="s">
        <v>1315</v>
      </c>
      <c r="AE98" s="53"/>
      <c r="AF98" s="557" t="s">
        <v>1357</v>
      </c>
      <c r="AG98" s="240" t="s">
        <v>1358</v>
      </c>
      <c r="AH98" s="53"/>
      <c r="AI98" s="53"/>
      <c r="AJ98" s="50" t="s">
        <v>1359</v>
      </c>
      <c r="AK98" s="50" t="s">
        <v>1360</v>
      </c>
      <c r="AL98" s="410" t="e">
        <f ca="1" t="shared" si="9"/>
        <v>#VALUE!</v>
      </c>
      <c r="AM98" s="50" t="s">
        <v>1361</v>
      </c>
      <c r="AN98" s="50" t="s">
        <v>93</v>
      </c>
      <c r="AO98" s="50" t="s">
        <v>1362</v>
      </c>
      <c r="AP98" s="36" t="s">
        <v>838</v>
      </c>
      <c r="AQ98" s="50" t="s">
        <v>1363</v>
      </c>
      <c r="AR98" s="53" t="s">
        <v>1364</v>
      </c>
      <c r="AS98" s="50" t="s">
        <v>98</v>
      </c>
      <c r="AT98" s="53" t="s">
        <v>1365</v>
      </c>
      <c r="AU98" s="50"/>
      <c r="AV98" s="53" t="s">
        <v>1366</v>
      </c>
      <c r="AW98" s="50" t="s">
        <v>100</v>
      </c>
      <c r="AX98" s="50" t="s">
        <v>120</v>
      </c>
      <c r="AY98" s="50" t="s">
        <v>234</v>
      </c>
      <c r="AZ98" s="53"/>
      <c r="BA98" s="53"/>
      <c r="BB98" s="50"/>
      <c r="BC98" s="53"/>
      <c r="BD98" s="53"/>
      <c r="BE98" s="53"/>
      <c r="BF98" s="53"/>
      <c r="BG98" s="53"/>
      <c r="BH98" s="53" t="s">
        <v>105</v>
      </c>
      <c r="BI98" s="50" t="s">
        <v>1314</v>
      </c>
      <c r="BJ98" s="53" t="s">
        <v>1352</v>
      </c>
      <c r="BK98" s="576" t="s">
        <v>1367</v>
      </c>
      <c r="BM98" s="284"/>
    </row>
    <row r="99" s="1" customFormat="1" spans="1:65">
      <c r="A99" s="54">
        <v>94</v>
      </c>
      <c r="B99" s="58">
        <v>2695</v>
      </c>
      <c r="C99" s="50" t="s">
        <v>658</v>
      </c>
      <c r="D99" s="58" t="s">
        <v>76</v>
      </c>
      <c r="E99" s="50" t="s">
        <v>1307</v>
      </c>
      <c r="F99" s="53"/>
      <c r="G99" s="50" t="s">
        <v>1368</v>
      </c>
      <c r="H99" s="50"/>
      <c r="I99" s="113" t="str">
        <f t="shared" si="14"/>
        <v>Revi Hamdani</v>
      </c>
      <c r="J99" s="50" t="s">
        <v>127</v>
      </c>
      <c r="K99" s="82" t="str">
        <f t="shared" si="24"/>
        <v>Laki-laki</v>
      </c>
      <c r="L99" s="50" t="s">
        <v>1314</v>
      </c>
      <c r="M99" s="122">
        <v>31393</v>
      </c>
      <c r="N99" s="375" t="str">
        <f ca="1" t="shared" si="15"/>
        <v>39 Tahun 10 Bulan </v>
      </c>
      <c r="O99" s="50" t="s">
        <v>1369</v>
      </c>
      <c r="P99" s="146" t="e">
        <f ca="1" t="shared" si="21"/>
        <v>#VALUE!</v>
      </c>
      <c r="Q99" s="146" t="e">
        <f ca="1" t="shared" si="22"/>
        <v>#VALUE!</v>
      </c>
      <c r="R99" s="576" t="s">
        <v>1370</v>
      </c>
      <c r="S99" s="53"/>
      <c r="T99" s="599" t="s">
        <v>1371</v>
      </c>
      <c r="U99" s="52" t="s">
        <v>129</v>
      </c>
      <c r="V99" s="50" t="s">
        <v>84</v>
      </c>
      <c r="W99" s="52" t="s">
        <v>112</v>
      </c>
      <c r="X99" s="53" t="s">
        <v>1372</v>
      </c>
      <c r="Y99" s="557" t="s">
        <v>1356</v>
      </c>
      <c r="Z99" s="53"/>
      <c r="AA99" s="53"/>
      <c r="AB99" s="50" t="s">
        <v>1315</v>
      </c>
      <c r="AC99" s="36">
        <v>77373</v>
      </c>
      <c r="AD99" s="50" t="s">
        <v>1315</v>
      </c>
      <c r="AE99" s="53"/>
      <c r="AF99" s="557" t="s">
        <v>1373</v>
      </c>
      <c r="AG99" s="50" t="s">
        <v>1374</v>
      </c>
      <c r="AH99" s="53"/>
      <c r="AI99" s="53"/>
      <c r="AJ99" s="50" t="s">
        <v>1375</v>
      </c>
      <c r="AK99" s="241">
        <v>39821</v>
      </c>
      <c r="AL99" s="410" t="str">
        <f ca="1" t="shared" ref="AL99:AL162" si="27">+DATEDIF(AK99,NOW(),"Y")&amp;" Tahun "&amp;+DATEDIF(AK99,NOW(),"YM")&amp;" Bulan "</f>
        <v>16 Tahun 9 Bulan </v>
      </c>
      <c r="AM99" s="52" t="s">
        <v>92</v>
      </c>
      <c r="AN99" s="50" t="s">
        <v>93</v>
      </c>
      <c r="AO99" s="50" t="s">
        <v>1376</v>
      </c>
      <c r="AP99" s="36" t="s">
        <v>838</v>
      </c>
      <c r="AQ99" s="50" t="s">
        <v>1377</v>
      </c>
      <c r="AR99" s="53"/>
      <c r="AS99" s="50" t="s">
        <v>1378</v>
      </c>
      <c r="AT99" s="53"/>
      <c r="AU99" s="50"/>
      <c r="AV99" s="53" t="s">
        <v>1379</v>
      </c>
      <c r="AW99" s="50" t="s">
        <v>100</v>
      </c>
      <c r="AX99" s="50" t="s">
        <v>120</v>
      </c>
      <c r="AY99" s="50" t="s">
        <v>234</v>
      </c>
      <c r="AZ99" s="53"/>
      <c r="BA99" s="53"/>
      <c r="BB99" s="50"/>
      <c r="BC99" s="53"/>
      <c r="BD99" s="53"/>
      <c r="BE99" s="53"/>
      <c r="BF99" s="53">
        <v>0</v>
      </c>
      <c r="BG99" s="53"/>
      <c r="BH99" s="53" t="s">
        <v>105</v>
      </c>
      <c r="BI99" s="50" t="s">
        <v>1315</v>
      </c>
      <c r="BJ99" s="53" t="s">
        <v>1380</v>
      </c>
      <c r="BK99" s="576" t="s">
        <v>1381</v>
      </c>
      <c r="BM99" s="284"/>
    </row>
    <row r="100" s="1" customFormat="1" spans="1:65">
      <c r="A100" s="54">
        <v>95</v>
      </c>
      <c r="B100" s="58">
        <v>5353</v>
      </c>
      <c r="C100" s="50" t="s">
        <v>658</v>
      </c>
      <c r="D100" s="58" t="s">
        <v>76</v>
      </c>
      <c r="E100" s="50" t="s">
        <v>1307</v>
      </c>
      <c r="F100" s="53"/>
      <c r="G100" s="50" t="s">
        <v>1382</v>
      </c>
      <c r="H100" s="50"/>
      <c r="I100" s="113" t="str">
        <f t="shared" si="14"/>
        <v>Fahruddin Hatta</v>
      </c>
      <c r="J100" s="50" t="s">
        <v>127</v>
      </c>
      <c r="K100" s="82" t="str">
        <f t="shared" si="24"/>
        <v>Laki-laki</v>
      </c>
      <c r="L100" s="50" t="s">
        <v>1383</v>
      </c>
      <c r="M100" s="36" t="s">
        <v>1384</v>
      </c>
      <c r="N100" s="375" t="str">
        <f ca="1" t="shared" si="15"/>
        <v>32 Tahun 1 Bulan </v>
      </c>
      <c r="O100" s="600" t="s">
        <v>1385</v>
      </c>
      <c r="P100" s="146">
        <f ca="1" t="shared" si="21"/>
        <v>32</v>
      </c>
      <c r="Q100" s="146" t="str">
        <f ca="1" t="shared" si="22"/>
        <v>OKE</v>
      </c>
      <c r="R100" s="576" t="s">
        <v>1386</v>
      </c>
      <c r="S100" s="53"/>
      <c r="T100" s="53"/>
      <c r="U100" s="50" t="s">
        <v>129</v>
      </c>
      <c r="V100" s="50" t="s">
        <v>84</v>
      </c>
      <c r="W100" s="52" t="s">
        <v>112</v>
      </c>
      <c r="X100" s="53" t="s">
        <v>1387</v>
      </c>
      <c r="Y100" s="557" t="s">
        <v>1313</v>
      </c>
      <c r="Z100" s="53"/>
      <c r="AA100" s="53"/>
      <c r="AB100" s="50" t="s">
        <v>1315</v>
      </c>
      <c r="AC100" s="36">
        <v>77373</v>
      </c>
      <c r="AD100" s="50" t="s">
        <v>1315</v>
      </c>
      <c r="AE100" s="53"/>
      <c r="AF100" s="557" t="s">
        <v>1388</v>
      </c>
      <c r="AG100" s="50"/>
      <c r="AH100" s="53"/>
      <c r="AI100" s="53"/>
      <c r="AJ100" s="50" t="s">
        <v>1389</v>
      </c>
      <c r="AK100" s="241">
        <v>42014</v>
      </c>
      <c r="AL100" s="410" t="str">
        <f ca="1" t="shared" si="27"/>
        <v>10 Tahun 9 Bulan </v>
      </c>
      <c r="AM100" s="50" t="s">
        <v>92</v>
      </c>
      <c r="AN100" s="50" t="s">
        <v>93</v>
      </c>
      <c r="AO100" s="50" t="s">
        <v>1390</v>
      </c>
      <c r="AP100" s="36" t="s">
        <v>838</v>
      </c>
      <c r="AQ100" s="50" t="s">
        <v>1391</v>
      </c>
      <c r="AR100" s="53"/>
      <c r="AS100" s="50" t="s">
        <v>1378</v>
      </c>
      <c r="AT100" s="53"/>
      <c r="AU100" s="50"/>
      <c r="AV100" s="53"/>
      <c r="AW100" s="50" t="s">
        <v>100</v>
      </c>
      <c r="AX100" s="50" t="s">
        <v>120</v>
      </c>
      <c r="AY100" s="50" t="s">
        <v>234</v>
      </c>
      <c r="AZ100" s="53"/>
      <c r="BA100" s="53"/>
      <c r="BB100" s="50"/>
      <c r="BC100" s="53"/>
      <c r="BD100" s="53"/>
      <c r="BE100" s="53"/>
      <c r="BF100" s="53"/>
      <c r="BG100" s="53"/>
      <c r="BH100" s="53" t="s">
        <v>105</v>
      </c>
      <c r="BI100" s="50" t="s">
        <v>518</v>
      </c>
      <c r="BJ100" s="53" t="s">
        <v>1392</v>
      </c>
      <c r="BK100" s="576" t="s">
        <v>1393</v>
      </c>
      <c r="BM100" s="284"/>
    </row>
    <row r="101" s="1" customFormat="1" spans="1:65">
      <c r="A101" s="54">
        <v>96</v>
      </c>
      <c r="B101" s="58">
        <v>5347</v>
      </c>
      <c r="C101" s="50" t="s">
        <v>658</v>
      </c>
      <c r="D101" s="58" t="s">
        <v>76</v>
      </c>
      <c r="E101" s="50" t="s">
        <v>1307</v>
      </c>
      <c r="F101" s="53"/>
      <c r="G101" s="50" t="s">
        <v>1394</v>
      </c>
      <c r="H101" s="50" t="s">
        <v>1395</v>
      </c>
      <c r="I101" s="113" t="str">
        <f t="shared" si="14"/>
        <v>Lianita Primasari, S.Pd.</v>
      </c>
      <c r="J101" s="50" t="s">
        <v>80</v>
      </c>
      <c r="K101" s="82" t="str">
        <f t="shared" si="24"/>
        <v>Perempuan</v>
      </c>
      <c r="L101" s="50" t="s">
        <v>1396</v>
      </c>
      <c r="M101" s="122">
        <v>31986</v>
      </c>
      <c r="N101" s="375" t="str">
        <f ca="1" t="shared" si="15"/>
        <v>38 Tahun 3 Bulan </v>
      </c>
      <c r="O101" s="122">
        <v>31986</v>
      </c>
      <c r="P101" s="146">
        <f ca="1" t="shared" si="21"/>
        <v>38</v>
      </c>
      <c r="Q101" s="146" t="str">
        <f ca="1" t="shared" si="22"/>
        <v>OKE</v>
      </c>
      <c r="R101" s="576" t="s">
        <v>1397</v>
      </c>
      <c r="S101" s="53"/>
      <c r="T101" s="53"/>
      <c r="U101" s="50" t="s">
        <v>83</v>
      </c>
      <c r="V101" s="50" t="s">
        <v>84</v>
      </c>
      <c r="W101" s="50" t="s">
        <v>112</v>
      </c>
      <c r="X101" s="53" t="s">
        <v>1398</v>
      </c>
      <c r="Y101" s="557" t="s">
        <v>1399</v>
      </c>
      <c r="Z101" s="53"/>
      <c r="AA101" s="53"/>
      <c r="AB101" s="50" t="s">
        <v>1314</v>
      </c>
      <c r="AC101" s="36">
        <v>77373</v>
      </c>
      <c r="AD101" s="50" t="s">
        <v>1315</v>
      </c>
      <c r="AE101" s="53"/>
      <c r="AF101" s="557" t="s">
        <v>1400</v>
      </c>
      <c r="AG101" s="240" t="s">
        <v>1401</v>
      </c>
      <c r="AH101" s="53"/>
      <c r="AI101" s="53"/>
      <c r="AJ101" s="50" t="s">
        <v>1402</v>
      </c>
      <c r="AK101" s="50" t="s">
        <v>1403</v>
      </c>
      <c r="AL101" s="410" t="e">
        <f ca="1" t="shared" si="27"/>
        <v>#VALUE!</v>
      </c>
      <c r="AM101" s="50" t="s">
        <v>92</v>
      </c>
      <c r="AN101" s="50" t="s">
        <v>93</v>
      </c>
      <c r="AO101" s="50" t="s">
        <v>1404</v>
      </c>
      <c r="AP101" s="36" t="s">
        <v>838</v>
      </c>
      <c r="AQ101" s="50" t="s">
        <v>1405</v>
      </c>
      <c r="AR101" s="53" t="s">
        <v>1406</v>
      </c>
      <c r="AS101" s="50" t="s">
        <v>98</v>
      </c>
      <c r="AT101" s="53" t="s">
        <v>1407</v>
      </c>
      <c r="AU101" s="50"/>
      <c r="AV101" s="558" t="s">
        <v>1408</v>
      </c>
      <c r="AW101" s="50" t="s">
        <v>100</v>
      </c>
      <c r="AX101" s="52" t="s">
        <v>101</v>
      </c>
      <c r="AY101" s="50" t="s">
        <v>917</v>
      </c>
      <c r="AZ101" s="53"/>
      <c r="BA101" s="53"/>
      <c r="BB101" s="50"/>
      <c r="BC101" s="53" t="s">
        <v>563</v>
      </c>
      <c r="BD101" s="53"/>
      <c r="BE101" s="53">
        <v>32</v>
      </c>
      <c r="BF101" s="53">
        <v>32</v>
      </c>
      <c r="BG101" s="53"/>
      <c r="BH101" s="53" t="s">
        <v>105</v>
      </c>
      <c r="BI101" s="50" t="s">
        <v>1151</v>
      </c>
      <c r="BJ101" s="53" t="s">
        <v>1394</v>
      </c>
      <c r="BK101" s="576" t="s">
        <v>1409</v>
      </c>
      <c r="BM101" s="284"/>
    </row>
    <row r="102" s="1" customFormat="1" spans="1:65">
      <c r="A102" s="54">
        <v>97</v>
      </c>
      <c r="B102" s="194">
        <v>5348</v>
      </c>
      <c r="C102" s="54" t="s">
        <v>658</v>
      </c>
      <c r="D102" s="194" t="s">
        <v>76</v>
      </c>
      <c r="E102" s="54" t="s">
        <v>1307</v>
      </c>
      <c r="F102" s="54"/>
      <c r="G102" s="54" t="s">
        <v>1410</v>
      </c>
      <c r="H102" s="54" t="s">
        <v>177</v>
      </c>
      <c r="I102" s="113" t="str">
        <f t="shared" si="14"/>
        <v>Nurul Waqiah, S.Pd</v>
      </c>
      <c r="J102" s="54" t="s">
        <v>80</v>
      </c>
      <c r="K102" s="82" t="str">
        <f t="shared" si="24"/>
        <v>Perempuan</v>
      </c>
      <c r="L102" s="54" t="s">
        <v>1314</v>
      </c>
      <c r="M102" s="377">
        <v>32263</v>
      </c>
      <c r="N102" s="375" t="str">
        <f ca="1" t="shared" si="15"/>
        <v>37 Tahun 6 Bulan </v>
      </c>
      <c r="O102" s="306" t="str">
        <f t="shared" ref="O102" si="28">TEXT(M102,"DD MMMM YYYY")</f>
        <v>30 April 1988</v>
      </c>
      <c r="P102" s="146">
        <f ca="1" t="shared" si="21"/>
        <v>37</v>
      </c>
      <c r="Q102" s="146" t="str">
        <f ca="1" t="shared" si="22"/>
        <v>OKE</v>
      </c>
      <c r="R102" s="597" t="s">
        <v>1411</v>
      </c>
      <c r="S102" s="54"/>
      <c r="T102" s="54"/>
      <c r="U102" s="54" t="s">
        <v>83</v>
      </c>
      <c r="V102" s="50" t="s">
        <v>84</v>
      </c>
      <c r="W102" s="54" t="s">
        <v>112</v>
      </c>
      <c r="X102" s="54" t="s">
        <v>1355</v>
      </c>
      <c r="Y102" s="601" t="s">
        <v>1356</v>
      </c>
      <c r="Z102" s="54"/>
      <c r="AA102" s="54"/>
      <c r="AB102" s="54" t="s">
        <v>1314</v>
      </c>
      <c r="AC102" s="54">
        <v>77373</v>
      </c>
      <c r="AD102" s="54" t="s">
        <v>1315</v>
      </c>
      <c r="AE102" s="54"/>
      <c r="AF102" s="598" t="s">
        <v>1412</v>
      </c>
      <c r="AG102" s="238" t="s">
        <v>1413</v>
      </c>
      <c r="AH102" s="54"/>
      <c r="AI102" s="54"/>
      <c r="AJ102" s="54" t="s">
        <v>1414</v>
      </c>
      <c r="AK102" s="54" t="s">
        <v>1415</v>
      </c>
      <c r="AL102" s="410" t="e">
        <f ca="1" t="shared" si="27"/>
        <v>#VALUE!</v>
      </c>
      <c r="AM102" s="54" t="s">
        <v>92</v>
      </c>
      <c r="AN102" s="50" t="s">
        <v>93</v>
      </c>
      <c r="AO102" s="54" t="s">
        <v>1416</v>
      </c>
      <c r="AP102" s="185" t="s">
        <v>838</v>
      </c>
      <c r="AQ102" s="54" t="s">
        <v>1417</v>
      </c>
      <c r="AR102" s="54"/>
      <c r="AS102" s="54" t="s">
        <v>1418</v>
      </c>
      <c r="AT102" s="54"/>
      <c r="AU102" s="54"/>
      <c r="AV102" s="54" t="s">
        <v>1419</v>
      </c>
      <c r="AW102" s="54" t="s">
        <v>100</v>
      </c>
      <c r="AX102" s="52" t="s">
        <v>101</v>
      </c>
      <c r="AY102" s="54" t="s">
        <v>1420</v>
      </c>
      <c r="AZ102" s="54"/>
      <c r="BA102" s="54"/>
      <c r="BB102" s="54" t="s">
        <v>1421</v>
      </c>
      <c r="BC102" s="54" t="s">
        <v>313</v>
      </c>
      <c r="BD102" s="54">
        <v>6</v>
      </c>
      <c r="BE102" s="54">
        <v>19</v>
      </c>
      <c r="BF102" s="54">
        <v>25</v>
      </c>
      <c r="BG102" s="54"/>
      <c r="BH102" s="54" t="s">
        <v>105</v>
      </c>
      <c r="BI102" s="54" t="s">
        <v>1314</v>
      </c>
      <c r="BJ102" s="54" t="s">
        <v>1410</v>
      </c>
      <c r="BK102" s="597" t="s">
        <v>1422</v>
      </c>
      <c r="BM102" s="284"/>
    </row>
    <row r="103" s="1" customFormat="1" spans="1:65">
      <c r="A103" s="54">
        <v>98</v>
      </c>
      <c r="B103" s="194">
        <v>5350</v>
      </c>
      <c r="C103" s="54" t="s">
        <v>658</v>
      </c>
      <c r="D103" s="194" t="s">
        <v>76</v>
      </c>
      <c r="E103" s="54" t="s">
        <v>1307</v>
      </c>
      <c r="F103" s="54"/>
      <c r="G103" s="54" t="s">
        <v>1423</v>
      </c>
      <c r="H103" s="54" t="s">
        <v>177</v>
      </c>
      <c r="I103" s="113" t="str">
        <f t="shared" si="14"/>
        <v>Chairani, S.Pd</v>
      </c>
      <c r="J103" s="54" t="s">
        <v>127</v>
      </c>
      <c r="K103" s="82" t="str">
        <f t="shared" si="24"/>
        <v>Laki-laki</v>
      </c>
      <c r="L103" s="54" t="s">
        <v>88</v>
      </c>
      <c r="M103" s="377">
        <v>33101</v>
      </c>
      <c r="N103" s="375" t="str">
        <f ca="1" t="shared" si="15"/>
        <v>35 Tahun 2 Bulan </v>
      </c>
      <c r="O103" s="377">
        <v>33101</v>
      </c>
      <c r="P103" s="146">
        <f ca="1" t="shared" si="21"/>
        <v>35</v>
      </c>
      <c r="Q103" s="146" t="str">
        <f ca="1" t="shared" si="22"/>
        <v>OKE</v>
      </c>
      <c r="R103" s="597" t="s">
        <v>1424</v>
      </c>
      <c r="S103" s="54"/>
      <c r="T103" s="54"/>
      <c r="U103" s="54" t="s">
        <v>83</v>
      </c>
      <c r="V103" s="50" t="s">
        <v>84</v>
      </c>
      <c r="W103" s="54" t="s">
        <v>112</v>
      </c>
      <c r="X103" s="54" t="s">
        <v>1425</v>
      </c>
      <c r="Y103" s="601" t="s">
        <v>1356</v>
      </c>
      <c r="Z103" s="54"/>
      <c r="AA103" s="54"/>
      <c r="AB103" s="54" t="s">
        <v>1426</v>
      </c>
      <c r="AC103" s="54">
        <v>77372</v>
      </c>
      <c r="AD103" s="54" t="s">
        <v>1060</v>
      </c>
      <c r="AE103" s="54"/>
      <c r="AF103" s="598" t="s">
        <v>1427</v>
      </c>
      <c r="AG103" s="238" t="s">
        <v>1428</v>
      </c>
      <c r="AH103" s="54"/>
      <c r="AI103" s="54"/>
      <c r="AJ103" s="54" t="s">
        <v>1429</v>
      </c>
      <c r="AK103" s="54" t="s">
        <v>1415</v>
      </c>
      <c r="AL103" s="410" t="e">
        <f ca="1" t="shared" si="27"/>
        <v>#VALUE!</v>
      </c>
      <c r="AM103" s="54" t="s">
        <v>92</v>
      </c>
      <c r="AN103" s="50" t="s">
        <v>93</v>
      </c>
      <c r="AO103" s="54" t="s">
        <v>1022</v>
      </c>
      <c r="AP103" s="185" t="s">
        <v>838</v>
      </c>
      <c r="AQ103" s="54" t="s">
        <v>1430</v>
      </c>
      <c r="AR103" s="54"/>
      <c r="AS103" s="54" t="s">
        <v>1431</v>
      </c>
      <c r="AT103" s="54"/>
      <c r="AU103" s="54"/>
      <c r="AV103" s="54" t="s">
        <v>1432</v>
      </c>
      <c r="AW103" s="54" t="s">
        <v>100</v>
      </c>
      <c r="AX103" s="52" t="s">
        <v>101</v>
      </c>
      <c r="AY103" s="54" t="s">
        <v>1433</v>
      </c>
      <c r="AZ103" s="54"/>
      <c r="BA103" s="54"/>
      <c r="BB103" s="54" t="s">
        <v>1434</v>
      </c>
      <c r="BC103" s="54" t="s">
        <v>1435</v>
      </c>
      <c r="BD103" s="54">
        <v>4</v>
      </c>
      <c r="BE103" s="54">
        <v>24</v>
      </c>
      <c r="BF103" s="54">
        <v>28</v>
      </c>
      <c r="BG103" s="54"/>
      <c r="BH103" s="54" t="s">
        <v>105</v>
      </c>
      <c r="BI103" s="54" t="s">
        <v>1314</v>
      </c>
      <c r="BJ103" s="54" t="s">
        <v>1423</v>
      </c>
      <c r="BK103" s="597" t="s">
        <v>1436</v>
      </c>
      <c r="BM103" s="284"/>
    </row>
    <row r="104" s="1" customFormat="1" spans="1:65">
      <c r="A104" s="54">
        <v>99</v>
      </c>
      <c r="B104" s="562" t="s">
        <v>1437</v>
      </c>
      <c r="C104" s="54" t="s">
        <v>658</v>
      </c>
      <c r="D104" s="194" t="s">
        <v>76</v>
      </c>
      <c r="E104" s="54" t="s">
        <v>1307</v>
      </c>
      <c r="F104" s="54"/>
      <c r="G104" s="54" t="s">
        <v>1438</v>
      </c>
      <c r="H104" s="54" t="s">
        <v>177</v>
      </c>
      <c r="I104" s="113" t="str">
        <f t="shared" si="14"/>
        <v>Rusnawati, S.Pd</v>
      </c>
      <c r="J104" s="54" t="s">
        <v>80</v>
      </c>
      <c r="K104" s="82" t="str">
        <f t="shared" si="24"/>
        <v>Perempuan</v>
      </c>
      <c r="L104" s="54" t="s">
        <v>1439</v>
      </c>
      <c r="M104" s="602" t="s">
        <v>1440</v>
      </c>
      <c r="N104" s="377">
        <v>32186</v>
      </c>
      <c r="O104" s="377">
        <v>32186</v>
      </c>
      <c r="P104" s="146">
        <f ca="1" t="shared" si="21"/>
        <v>37</v>
      </c>
      <c r="Q104" s="146" t="str">
        <f ca="1" t="shared" si="22"/>
        <v>OKE</v>
      </c>
      <c r="R104" s="597" t="s">
        <v>1441</v>
      </c>
      <c r="S104" s="54"/>
      <c r="T104" s="54"/>
      <c r="U104" s="54" t="s">
        <v>83</v>
      </c>
      <c r="V104" s="50" t="s">
        <v>84</v>
      </c>
      <c r="W104" s="54" t="s">
        <v>1442</v>
      </c>
      <c r="X104" s="54" t="s">
        <v>1443</v>
      </c>
      <c r="Y104" s="601" t="s">
        <v>1313</v>
      </c>
      <c r="Z104" s="54"/>
      <c r="AA104" s="54"/>
      <c r="AB104" s="54" t="s">
        <v>1444</v>
      </c>
      <c r="AC104" s="54">
        <v>77373</v>
      </c>
      <c r="AD104" s="54" t="s">
        <v>1315</v>
      </c>
      <c r="AE104" s="54"/>
      <c r="AF104" s="598" t="s">
        <v>1445</v>
      </c>
      <c r="AG104" s="238" t="s">
        <v>1446</v>
      </c>
      <c r="AH104" s="54"/>
      <c r="AI104" s="54"/>
      <c r="AJ104" s="54" t="s">
        <v>1447</v>
      </c>
      <c r="AK104" s="54" t="s">
        <v>1448</v>
      </c>
      <c r="AL104" s="410" t="e">
        <f ca="1" t="shared" si="27"/>
        <v>#VALUE!</v>
      </c>
      <c r="AM104" s="54" t="s">
        <v>92</v>
      </c>
      <c r="AN104" s="50" t="s">
        <v>93</v>
      </c>
      <c r="AO104" s="54" t="s">
        <v>1449</v>
      </c>
      <c r="AP104" s="185" t="s">
        <v>838</v>
      </c>
      <c r="AQ104" s="54" t="s">
        <v>1450</v>
      </c>
      <c r="AR104" s="54"/>
      <c r="AS104" s="54" t="s">
        <v>1451</v>
      </c>
      <c r="AT104" s="54"/>
      <c r="AU104" s="54"/>
      <c r="AV104" s="54" t="s">
        <v>1452</v>
      </c>
      <c r="AW104" s="54" t="s">
        <v>100</v>
      </c>
      <c r="AX104" s="52" t="s">
        <v>101</v>
      </c>
      <c r="AY104" s="54" t="s">
        <v>1453</v>
      </c>
      <c r="AZ104" s="54"/>
      <c r="BA104" s="54"/>
      <c r="BB104" s="54" t="s">
        <v>406</v>
      </c>
      <c r="BC104" s="54" t="s">
        <v>1454</v>
      </c>
      <c r="BD104" s="54">
        <v>2</v>
      </c>
      <c r="BE104" s="54">
        <v>22</v>
      </c>
      <c r="BF104" s="54">
        <v>24</v>
      </c>
      <c r="BG104" s="54"/>
      <c r="BH104" s="54" t="s">
        <v>105</v>
      </c>
      <c r="BI104" s="54" t="s">
        <v>1455</v>
      </c>
      <c r="BJ104" s="54" t="s">
        <v>1456</v>
      </c>
      <c r="BK104" s="54">
        <v>1192027990</v>
      </c>
      <c r="BM104" s="284"/>
    </row>
    <row r="105" s="1" customFormat="1" spans="1:65">
      <c r="A105" s="54">
        <v>100</v>
      </c>
      <c r="B105" s="58">
        <v>5351</v>
      </c>
      <c r="C105" s="50" t="s">
        <v>658</v>
      </c>
      <c r="D105" s="58" t="s">
        <v>76</v>
      </c>
      <c r="E105" s="50" t="s">
        <v>1307</v>
      </c>
      <c r="F105" s="53"/>
      <c r="G105" s="50" t="s">
        <v>1457</v>
      </c>
      <c r="H105" s="50"/>
      <c r="I105" s="113" t="str">
        <f t="shared" si="14"/>
        <v>Hafsah Umar</v>
      </c>
      <c r="J105" s="50" t="s">
        <v>80</v>
      </c>
      <c r="K105" s="82" t="str">
        <f t="shared" si="24"/>
        <v>Perempuan</v>
      </c>
      <c r="L105" s="50" t="s">
        <v>1170</v>
      </c>
      <c r="M105" s="122">
        <v>32761</v>
      </c>
      <c r="N105" s="375" t="str">
        <f ca="1" t="shared" si="15"/>
        <v>36 Tahun 1 Bulan </v>
      </c>
      <c r="O105" s="376" t="str">
        <f>TEXT(M105,"DD MMMM YYYY")</f>
        <v>10 September 1989</v>
      </c>
      <c r="P105" s="146">
        <f ca="1" t="shared" si="21"/>
        <v>36</v>
      </c>
      <c r="Q105" s="146" t="str">
        <f ca="1" t="shared" si="22"/>
        <v>OKE</v>
      </c>
      <c r="R105" s="576" t="s">
        <v>1458</v>
      </c>
      <c r="S105" s="53"/>
      <c r="T105" s="53"/>
      <c r="U105" s="50" t="s">
        <v>129</v>
      </c>
      <c r="V105" s="50" t="s">
        <v>84</v>
      </c>
      <c r="W105" s="50" t="s">
        <v>112</v>
      </c>
      <c r="X105" s="53" t="s">
        <v>1459</v>
      </c>
      <c r="Y105" s="603" t="s">
        <v>1460</v>
      </c>
      <c r="Z105" s="53"/>
      <c r="AA105" s="53"/>
      <c r="AB105" s="50" t="s">
        <v>690</v>
      </c>
      <c r="AC105" s="36">
        <v>77315</v>
      </c>
      <c r="AD105" s="50" t="s">
        <v>690</v>
      </c>
      <c r="AE105" s="53"/>
      <c r="AF105" s="557" t="s">
        <v>1461</v>
      </c>
      <c r="AG105" s="240" t="s">
        <v>1462</v>
      </c>
      <c r="AH105" s="53"/>
      <c r="AI105" s="53"/>
      <c r="AJ105" s="50" t="s">
        <v>1463</v>
      </c>
      <c r="AK105" s="241">
        <v>40546</v>
      </c>
      <c r="AL105" s="410" t="str">
        <f ca="1" t="shared" si="27"/>
        <v>14 Tahun 10 Bulan </v>
      </c>
      <c r="AM105" s="50" t="s">
        <v>92</v>
      </c>
      <c r="AN105" s="50" t="s">
        <v>93</v>
      </c>
      <c r="AO105" s="50" t="s">
        <v>1464</v>
      </c>
      <c r="AP105" s="36" t="s">
        <v>838</v>
      </c>
      <c r="AQ105" s="50" t="s">
        <v>1465</v>
      </c>
      <c r="AR105" s="53"/>
      <c r="AS105" s="50" t="s">
        <v>1466</v>
      </c>
      <c r="AT105" s="53"/>
      <c r="AU105" s="50"/>
      <c r="AV105" s="558" t="s">
        <v>1467</v>
      </c>
      <c r="AW105" s="50" t="s">
        <v>100</v>
      </c>
      <c r="AX105" s="50" t="s">
        <v>120</v>
      </c>
      <c r="AY105" s="50" t="s">
        <v>1468</v>
      </c>
      <c r="AZ105" s="53"/>
      <c r="BA105" s="53"/>
      <c r="BB105" s="50"/>
      <c r="BC105" s="53"/>
      <c r="BD105" s="53"/>
      <c r="BE105" s="53"/>
      <c r="BF105" s="53"/>
      <c r="BG105" s="53"/>
      <c r="BH105" s="53" t="s">
        <v>105</v>
      </c>
      <c r="BI105" s="50" t="s">
        <v>1314</v>
      </c>
      <c r="BJ105" s="53" t="s">
        <v>1457</v>
      </c>
      <c r="BK105" s="576" t="s">
        <v>1469</v>
      </c>
      <c r="BM105" s="284"/>
    </row>
    <row r="106" s="1" customFormat="1" spans="1:65">
      <c r="A106" s="54">
        <v>101</v>
      </c>
      <c r="B106" s="58">
        <v>5352</v>
      </c>
      <c r="C106" s="50" t="s">
        <v>658</v>
      </c>
      <c r="D106" s="58" t="s">
        <v>76</v>
      </c>
      <c r="E106" s="50" t="s">
        <v>1307</v>
      </c>
      <c r="F106" s="53"/>
      <c r="G106" s="50" t="s">
        <v>1465</v>
      </c>
      <c r="H106" s="50"/>
      <c r="I106" s="113" t="str">
        <f t="shared" si="14"/>
        <v>Sugianto</v>
      </c>
      <c r="J106" s="50" t="s">
        <v>127</v>
      </c>
      <c r="K106" s="82" t="str">
        <f t="shared" si="24"/>
        <v>Laki-laki</v>
      </c>
      <c r="L106" s="50" t="s">
        <v>131</v>
      </c>
      <c r="M106" s="122">
        <v>28377</v>
      </c>
      <c r="N106" s="375" t="str">
        <f ca="1" t="shared" si="15"/>
        <v>48 Tahun 1 Bulan </v>
      </c>
      <c r="O106" s="50" t="str">
        <f>TEXT(M106,"DD MMMM YYYY")</f>
        <v>09 September 1977</v>
      </c>
      <c r="P106" s="146">
        <f ca="1" t="shared" si="21"/>
        <v>48</v>
      </c>
      <c r="Q106" s="146" t="str">
        <f ca="1" t="shared" si="22"/>
        <v>OKE</v>
      </c>
      <c r="R106" s="576" t="s">
        <v>1470</v>
      </c>
      <c r="S106" s="53"/>
      <c r="T106" s="53"/>
      <c r="U106" s="50" t="s">
        <v>848</v>
      </c>
      <c r="V106" s="50" t="s">
        <v>84</v>
      </c>
      <c r="W106" s="50" t="s">
        <v>112</v>
      </c>
      <c r="X106" s="53" t="s">
        <v>1459</v>
      </c>
      <c r="Y106" s="557" t="s">
        <v>1460</v>
      </c>
      <c r="Z106" s="53"/>
      <c r="AA106" s="53"/>
      <c r="AB106" s="50" t="s">
        <v>690</v>
      </c>
      <c r="AC106" s="36">
        <v>77315</v>
      </c>
      <c r="AD106" s="50" t="s">
        <v>690</v>
      </c>
      <c r="AE106" s="53"/>
      <c r="AF106" s="557" t="s">
        <v>1471</v>
      </c>
      <c r="AG106" s="240" t="s">
        <v>1472</v>
      </c>
      <c r="AH106" s="53"/>
      <c r="AI106" s="53"/>
      <c r="AJ106" s="50" t="s">
        <v>1473</v>
      </c>
      <c r="AK106" s="241">
        <v>42044</v>
      </c>
      <c r="AL106" s="410" t="str">
        <f ca="1" t="shared" si="27"/>
        <v>10 Tahun 8 Bulan </v>
      </c>
      <c r="AM106" s="50" t="s">
        <v>92</v>
      </c>
      <c r="AN106" s="50" t="s">
        <v>93</v>
      </c>
      <c r="AO106" s="50" t="s">
        <v>1474</v>
      </c>
      <c r="AP106" s="36" t="s">
        <v>838</v>
      </c>
      <c r="AQ106" s="50" t="s">
        <v>1457</v>
      </c>
      <c r="AR106" s="53"/>
      <c r="AS106" s="50" t="s">
        <v>1466</v>
      </c>
      <c r="AT106" s="53"/>
      <c r="AU106" s="50"/>
      <c r="AV106" s="53"/>
      <c r="AW106" s="50" t="s">
        <v>100</v>
      </c>
      <c r="AX106" s="50" t="s">
        <v>120</v>
      </c>
      <c r="AY106" s="50" t="s">
        <v>1468</v>
      </c>
      <c r="AZ106" s="53"/>
      <c r="BA106" s="53"/>
      <c r="BB106" s="50"/>
      <c r="BC106" s="53"/>
      <c r="BD106" s="53"/>
      <c r="BE106" s="53"/>
      <c r="BF106" s="53"/>
      <c r="BG106" s="53"/>
      <c r="BH106" s="53" t="s">
        <v>105</v>
      </c>
      <c r="BI106" s="50" t="s">
        <v>1314</v>
      </c>
      <c r="BJ106" s="53" t="s">
        <v>1465</v>
      </c>
      <c r="BK106" s="576" t="s">
        <v>1475</v>
      </c>
      <c r="BM106" s="284"/>
    </row>
    <row r="107" s="1" customFormat="1" spans="1:65">
      <c r="A107" s="54">
        <v>102</v>
      </c>
      <c r="B107" s="562" t="s">
        <v>1476</v>
      </c>
      <c r="C107" s="54" t="s">
        <v>658</v>
      </c>
      <c r="D107" s="194" t="s">
        <v>76</v>
      </c>
      <c r="E107" s="54" t="s">
        <v>1307</v>
      </c>
      <c r="F107" s="54"/>
      <c r="G107" s="54" t="s">
        <v>1477</v>
      </c>
      <c r="H107" s="54" t="s">
        <v>177</v>
      </c>
      <c r="I107" s="113" t="str">
        <f t="shared" si="14"/>
        <v>Hairunnisa, S.Pd</v>
      </c>
      <c r="J107" s="54" t="s">
        <v>80</v>
      </c>
      <c r="K107" s="82" t="str">
        <f t="shared" si="24"/>
        <v>Perempuan</v>
      </c>
      <c r="L107" s="54" t="s">
        <v>75</v>
      </c>
      <c r="M107" s="114">
        <v>33622</v>
      </c>
      <c r="N107" s="375" t="str">
        <f ca="1" t="shared" si="15"/>
        <v>33 Tahun 9 Bulan </v>
      </c>
      <c r="O107" s="114">
        <v>33622</v>
      </c>
      <c r="P107" s="146">
        <f ca="1" t="shared" si="21"/>
        <v>33</v>
      </c>
      <c r="Q107" s="146" t="str">
        <f ca="1" t="shared" si="22"/>
        <v>OKE</v>
      </c>
      <c r="R107" s="597" t="s">
        <v>1478</v>
      </c>
      <c r="S107" s="54"/>
      <c r="T107" s="54"/>
      <c r="U107" s="54" t="s">
        <v>83</v>
      </c>
      <c r="V107" s="50" t="s">
        <v>84</v>
      </c>
      <c r="W107" s="54" t="s">
        <v>112</v>
      </c>
      <c r="X107" s="54" t="s">
        <v>1479</v>
      </c>
      <c r="Y107" s="598" t="s">
        <v>1480</v>
      </c>
      <c r="Z107" s="54"/>
      <c r="AA107" s="54"/>
      <c r="AB107" s="54" t="s">
        <v>1444</v>
      </c>
      <c r="AC107" s="54">
        <v>77373</v>
      </c>
      <c r="AD107" s="54" t="s">
        <v>1315</v>
      </c>
      <c r="AE107" s="54"/>
      <c r="AF107" s="598" t="s">
        <v>1481</v>
      </c>
      <c r="AG107" s="238" t="s">
        <v>1482</v>
      </c>
      <c r="AH107" s="54"/>
      <c r="AI107" s="54"/>
      <c r="AJ107" s="54" t="s">
        <v>1483</v>
      </c>
      <c r="AK107" s="54" t="s">
        <v>1484</v>
      </c>
      <c r="AL107" s="410" t="e">
        <f ca="1" t="shared" si="27"/>
        <v>#VALUE!</v>
      </c>
      <c r="AM107" s="54" t="s">
        <v>92</v>
      </c>
      <c r="AN107" s="50" t="s">
        <v>93</v>
      </c>
      <c r="AO107" s="54" t="s">
        <v>1485</v>
      </c>
      <c r="AP107" s="185" t="s">
        <v>297</v>
      </c>
      <c r="AQ107" s="54"/>
      <c r="AR107" s="54"/>
      <c r="AS107" s="54"/>
      <c r="AT107" s="54"/>
      <c r="AU107" s="54"/>
      <c r="AV107" s="54" t="s">
        <v>1486</v>
      </c>
      <c r="AW107" s="54" t="s">
        <v>100</v>
      </c>
      <c r="AX107" s="52" t="s">
        <v>101</v>
      </c>
      <c r="AY107" s="54" t="s">
        <v>1487</v>
      </c>
      <c r="AZ107" s="54"/>
      <c r="BA107" s="54"/>
      <c r="BB107" s="54" t="s">
        <v>1488</v>
      </c>
      <c r="BC107" s="54" t="s">
        <v>1489</v>
      </c>
      <c r="BD107" s="54">
        <v>4</v>
      </c>
      <c r="BE107" s="54">
        <v>24</v>
      </c>
      <c r="BF107" s="54">
        <v>28</v>
      </c>
      <c r="BG107" s="54"/>
      <c r="BH107" s="54" t="s">
        <v>105</v>
      </c>
      <c r="BI107" s="54" t="s">
        <v>1314</v>
      </c>
      <c r="BJ107" s="54" t="s">
        <v>1477</v>
      </c>
      <c r="BK107" s="597" t="s">
        <v>1490</v>
      </c>
      <c r="BM107" s="284"/>
    </row>
    <row r="108" s="1" customFormat="1" spans="1:65">
      <c r="A108" s="54">
        <v>103</v>
      </c>
      <c r="B108" s="58">
        <v>5344</v>
      </c>
      <c r="C108" s="50" t="s">
        <v>658</v>
      </c>
      <c r="D108" s="58" t="s">
        <v>76</v>
      </c>
      <c r="E108" s="50" t="s">
        <v>1307</v>
      </c>
      <c r="F108" s="53"/>
      <c r="G108" s="50" t="s">
        <v>1491</v>
      </c>
      <c r="H108" s="50" t="s">
        <v>287</v>
      </c>
      <c r="I108" s="113" t="str">
        <f t="shared" si="14"/>
        <v>Siti Faujiah, A.Md</v>
      </c>
      <c r="J108" s="50" t="s">
        <v>80</v>
      </c>
      <c r="K108" s="82" t="str">
        <f t="shared" si="24"/>
        <v>Perempuan</v>
      </c>
      <c r="L108" s="50" t="s">
        <v>1492</v>
      </c>
      <c r="M108" s="122">
        <v>31327</v>
      </c>
      <c r="N108" s="375" t="str">
        <f ca="1" t="shared" si="15"/>
        <v>40 Tahun 0 Bulan </v>
      </c>
      <c r="O108" s="122">
        <v>31327</v>
      </c>
      <c r="P108" s="146">
        <f ca="1" t="shared" si="21"/>
        <v>40</v>
      </c>
      <c r="Q108" s="146" t="str">
        <f ca="1" t="shared" si="22"/>
        <v>OKE</v>
      </c>
      <c r="R108" s="576" t="s">
        <v>1493</v>
      </c>
      <c r="S108" s="53"/>
      <c r="T108" s="558" t="s">
        <v>1494</v>
      </c>
      <c r="U108" s="50" t="s">
        <v>129</v>
      </c>
      <c r="V108" s="50" t="s">
        <v>84</v>
      </c>
      <c r="W108" s="50" t="s">
        <v>112</v>
      </c>
      <c r="X108" s="53" t="s">
        <v>1495</v>
      </c>
      <c r="Y108" s="557" t="s">
        <v>1496</v>
      </c>
      <c r="Z108" s="53"/>
      <c r="AA108" s="53"/>
      <c r="AB108" s="50" t="s">
        <v>1444</v>
      </c>
      <c r="AC108" s="36">
        <v>77373</v>
      </c>
      <c r="AD108" s="50" t="s">
        <v>1315</v>
      </c>
      <c r="AE108" s="53"/>
      <c r="AF108" s="557" t="s">
        <v>1497</v>
      </c>
      <c r="AG108" s="240" t="s">
        <v>1498</v>
      </c>
      <c r="AH108" s="53"/>
      <c r="AI108" s="53"/>
      <c r="AJ108" s="50" t="s">
        <v>1499</v>
      </c>
      <c r="AK108" s="50" t="s">
        <v>1360</v>
      </c>
      <c r="AL108" s="410" t="e">
        <f ca="1" t="shared" si="27"/>
        <v>#VALUE!</v>
      </c>
      <c r="AM108" s="50" t="s">
        <v>1500</v>
      </c>
      <c r="AN108" s="50" t="s">
        <v>93</v>
      </c>
      <c r="AO108" s="50" t="s">
        <v>1501</v>
      </c>
      <c r="AP108" s="36" t="s">
        <v>838</v>
      </c>
      <c r="AQ108" s="50" t="s">
        <v>1502</v>
      </c>
      <c r="AR108" s="53"/>
      <c r="AS108" s="50" t="s">
        <v>1418</v>
      </c>
      <c r="AT108" s="53"/>
      <c r="AU108" s="50"/>
      <c r="AV108" s="53" t="s">
        <v>1503</v>
      </c>
      <c r="AW108" s="50" t="s">
        <v>100</v>
      </c>
      <c r="AX108" s="50" t="s">
        <v>299</v>
      </c>
      <c r="AY108" s="50" t="s">
        <v>1504</v>
      </c>
      <c r="AZ108" s="53"/>
      <c r="BA108" s="53"/>
      <c r="BB108" s="50" t="s">
        <v>1505</v>
      </c>
      <c r="BC108" s="53"/>
      <c r="BD108" s="53"/>
      <c r="BE108" s="53"/>
      <c r="BF108" s="53"/>
      <c r="BG108" s="53"/>
      <c r="BH108" s="53" t="s">
        <v>105</v>
      </c>
      <c r="BI108" s="50" t="s">
        <v>1314</v>
      </c>
      <c r="BJ108" s="53" t="s">
        <v>1491</v>
      </c>
      <c r="BK108" s="576" t="s">
        <v>1506</v>
      </c>
      <c r="BM108" s="284"/>
    </row>
    <row r="109" s="1" customFormat="1" spans="1:65">
      <c r="A109" s="54">
        <v>104</v>
      </c>
      <c r="B109" s="194">
        <v>5345</v>
      </c>
      <c r="C109" s="54" t="s">
        <v>658</v>
      </c>
      <c r="D109" s="194" t="s">
        <v>76</v>
      </c>
      <c r="E109" s="54" t="s">
        <v>1307</v>
      </c>
      <c r="F109" s="54"/>
      <c r="G109" s="54" t="s">
        <v>1507</v>
      </c>
      <c r="H109" s="54" t="s">
        <v>1508</v>
      </c>
      <c r="I109" s="113" t="str">
        <f t="shared" si="14"/>
        <v>Noverita Rahmadiani, A.Ma</v>
      </c>
      <c r="J109" s="54" t="s">
        <v>80</v>
      </c>
      <c r="K109" s="82" t="str">
        <f t="shared" si="24"/>
        <v>Perempuan</v>
      </c>
      <c r="L109" s="54" t="s">
        <v>1509</v>
      </c>
      <c r="M109" s="114">
        <v>26236</v>
      </c>
      <c r="N109" s="375" t="str">
        <f ca="1" t="shared" si="15"/>
        <v>54 Tahun 0 Bulan </v>
      </c>
      <c r="O109" s="114">
        <v>26236</v>
      </c>
      <c r="P109" s="146">
        <f ca="1" t="shared" si="21"/>
        <v>54</v>
      </c>
      <c r="Q109" s="146" t="str">
        <f ca="1" t="shared" si="22"/>
        <v>OKE</v>
      </c>
      <c r="R109" s="597" t="s">
        <v>1510</v>
      </c>
      <c r="S109" s="54"/>
      <c r="T109" s="560" t="s">
        <v>1511</v>
      </c>
      <c r="U109" s="54" t="s">
        <v>111</v>
      </c>
      <c r="V109" s="50" t="s">
        <v>84</v>
      </c>
      <c r="W109" s="54" t="s">
        <v>112</v>
      </c>
      <c r="X109" s="54" t="s">
        <v>1512</v>
      </c>
      <c r="Y109" s="598" t="s">
        <v>1356</v>
      </c>
      <c r="Z109" s="54"/>
      <c r="AA109" s="54"/>
      <c r="AB109" s="54" t="s">
        <v>1444</v>
      </c>
      <c r="AC109" s="54">
        <v>77373</v>
      </c>
      <c r="AD109" s="54" t="s">
        <v>1315</v>
      </c>
      <c r="AE109" s="54"/>
      <c r="AF109" s="598" t="s">
        <v>1513</v>
      </c>
      <c r="AG109" s="238" t="s">
        <v>1514</v>
      </c>
      <c r="AH109" s="54"/>
      <c r="AI109" s="54"/>
      <c r="AJ109" s="50" t="s">
        <v>1515</v>
      </c>
      <c r="AK109" s="114">
        <v>40026</v>
      </c>
      <c r="AL109" s="410" t="str">
        <f ca="1" t="shared" si="27"/>
        <v>16 Tahun 3 Bulan </v>
      </c>
      <c r="AM109" s="50" t="s">
        <v>92</v>
      </c>
      <c r="AN109" s="50" t="s">
        <v>93</v>
      </c>
      <c r="AO109" s="50" t="s">
        <v>1516</v>
      </c>
      <c r="AP109" s="185" t="s">
        <v>838</v>
      </c>
      <c r="AQ109" s="50" t="s">
        <v>1517</v>
      </c>
      <c r="AR109" s="54"/>
      <c r="AS109" s="50" t="s">
        <v>588</v>
      </c>
      <c r="AT109" s="54"/>
      <c r="AU109" s="54"/>
      <c r="AV109" s="54" t="s">
        <v>1518</v>
      </c>
      <c r="AW109" s="54" t="s">
        <v>100</v>
      </c>
      <c r="AX109" s="54" t="s">
        <v>1519</v>
      </c>
      <c r="AY109" s="50" t="s">
        <v>1520</v>
      </c>
      <c r="AZ109" s="54"/>
      <c r="BA109" s="54"/>
      <c r="BB109" s="54" t="s">
        <v>1521</v>
      </c>
      <c r="BC109" s="54" t="s">
        <v>1522</v>
      </c>
      <c r="BD109" s="54">
        <v>8</v>
      </c>
      <c r="BE109" s="54">
        <v>24</v>
      </c>
      <c r="BF109" s="54">
        <v>24</v>
      </c>
      <c r="BG109" s="54"/>
      <c r="BH109" s="54" t="s">
        <v>105</v>
      </c>
      <c r="BI109" s="54" t="s">
        <v>1314</v>
      </c>
      <c r="BJ109" s="54" t="s">
        <v>1523</v>
      </c>
      <c r="BK109" s="576" t="s">
        <v>1524</v>
      </c>
      <c r="BM109" s="284"/>
    </row>
    <row r="110" s="1" customFormat="1" spans="1:65">
      <c r="A110" s="54">
        <v>105</v>
      </c>
      <c r="B110" s="58">
        <v>2696</v>
      </c>
      <c r="C110" s="54" t="s">
        <v>658</v>
      </c>
      <c r="D110" s="194" t="s">
        <v>76</v>
      </c>
      <c r="E110" s="54" t="s">
        <v>1307</v>
      </c>
      <c r="F110" s="53"/>
      <c r="G110" s="50" t="s">
        <v>1525</v>
      </c>
      <c r="H110" s="50"/>
      <c r="I110" s="113" t="str">
        <f t="shared" si="14"/>
        <v>Muchlis AR</v>
      </c>
      <c r="J110" s="50" t="s">
        <v>127</v>
      </c>
      <c r="K110" s="82" t="str">
        <f t="shared" si="24"/>
        <v>Laki-laki</v>
      </c>
      <c r="L110" s="50" t="s">
        <v>1314</v>
      </c>
      <c r="M110" s="122">
        <v>21156</v>
      </c>
      <c r="N110" s="375" t="str">
        <f ca="1" t="shared" si="15"/>
        <v>67 Tahun 11 Bulan </v>
      </c>
      <c r="O110" s="50" t="s">
        <v>1526</v>
      </c>
      <c r="P110" s="146" t="e">
        <f ca="1" t="shared" si="21"/>
        <v>#VALUE!</v>
      </c>
      <c r="Q110" s="146" t="e">
        <f ca="1" t="shared" si="22"/>
        <v>#VALUE!</v>
      </c>
      <c r="R110" s="576" t="s">
        <v>1527</v>
      </c>
      <c r="S110" s="53"/>
      <c r="T110" s="53"/>
      <c r="U110" s="50" t="s">
        <v>792</v>
      </c>
      <c r="V110" s="50" t="s">
        <v>84</v>
      </c>
      <c r="W110" s="54" t="s">
        <v>112</v>
      </c>
      <c r="X110" s="53" t="s">
        <v>1312</v>
      </c>
      <c r="Y110" s="557" t="s">
        <v>1313</v>
      </c>
      <c r="Z110" s="53"/>
      <c r="AA110" s="53"/>
      <c r="AB110" s="54" t="s">
        <v>1444</v>
      </c>
      <c r="AC110" s="54">
        <v>77374</v>
      </c>
      <c r="AD110" s="54" t="s">
        <v>1315</v>
      </c>
      <c r="AE110" s="53"/>
      <c r="AF110" s="557" t="s">
        <v>1528</v>
      </c>
      <c r="AG110" s="50"/>
      <c r="AH110" s="53"/>
      <c r="AI110" s="53"/>
      <c r="AJ110" s="50" t="s">
        <v>1529</v>
      </c>
      <c r="AK110" s="50" t="s">
        <v>1530</v>
      </c>
      <c r="AL110" s="410" t="e">
        <f ca="1" t="shared" si="27"/>
        <v>#VALUE!</v>
      </c>
      <c r="AM110" s="50" t="s">
        <v>92</v>
      </c>
      <c r="AN110" s="50" t="s">
        <v>93</v>
      </c>
      <c r="AO110" s="50" t="s">
        <v>1531</v>
      </c>
      <c r="AP110" s="36" t="s">
        <v>838</v>
      </c>
      <c r="AQ110" s="50" t="s">
        <v>1532</v>
      </c>
      <c r="AR110" s="53"/>
      <c r="AS110" s="50" t="s">
        <v>1533</v>
      </c>
      <c r="AT110" s="53"/>
      <c r="AU110" s="50"/>
      <c r="AV110" s="53"/>
      <c r="AW110" s="50" t="s">
        <v>100</v>
      </c>
      <c r="AX110" s="50" t="s">
        <v>1534</v>
      </c>
      <c r="AY110" s="50"/>
      <c r="AZ110" s="53"/>
      <c r="BA110" s="53"/>
      <c r="BB110" s="50"/>
      <c r="BC110" s="53"/>
      <c r="BD110" s="53"/>
      <c r="BE110" s="53"/>
      <c r="BF110" s="53"/>
      <c r="BG110" s="53"/>
      <c r="BH110" s="54" t="s">
        <v>105</v>
      </c>
      <c r="BI110" s="54" t="s">
        <v>1314</v>
      </c>
      <c r="BJ110" s="53" t="s">
        <v>1525</v>
      </c>
      <c r="BK110" s="576" t="s">
        <v>1535</v>
      </c>
      <c r="BM110" s="284"/>
    </row>
    <row r="111" s="1" customFormat="1" ht="42.75" customHeight="1" spans="1:64">
      <c r="A111" s="54">
        <v>106</v>
      </c>
      <c r="B111" s="364">
        <v>5021</v>
      </c>
      <c r="C111" s="125" t="s">
        <v>1536</v>
      </c>
      <c r="D111" s="125" t="s">
        <v>76</v>
      </c>
      <c r="E111" s="125" t="s">
        <v>1537</v>
      </c>
      <c r="F111" s="125"/>
      <c r="G111" s="125" t="s">
        <v>1538</v>
      </c>
      <c r="H111" s="125" t="s">
        <v>161</v>
      </c>
      <c r="I111" s="113" t="str">
        <f t="shared" si="14"/>
        <v>Ari Zona , SE</v>
      </c>
      <c r="J111" s="125" t="s">
        <v>80</v>
      </c>
      <c r="K111" s="102" t="str">
        <f t="shared" si="24"/>
        <v>Perempuan</v>
      </c>
      <c r="L111" s="125" t="s">
        <v>1539</v>
      </c>
      <c r="M111" s="569" t="s">
        <v>1540</v>
      </c>
      <c r="N111" s="115" t="str">
        <f ca="1" t="shared" si="15"/>
        <v>40 Tahun 0 Bulan </v>
      </c>
      <c r="O111" s="378">
        <v>31353</v>
      </c>
      <c r="P111" s="105">
        <f ca="1" t="shared" si="21"/>
        <v>40</v>
      </c>
      <c r="Q111" s="105" t="str">
        <f ca="1" t="shared" si="22"/>
        <v>OKE</v>
      </c>
      <c r="R111" s="569" t="s">
        <v>1541</v>
      </c>
      <c r="S111" s="125"/>
      <c r="T111" s="125"/>
      <c r="U111" s="393" t="s">
        <v>129</v>
      </c>
      <c r="V111" s="394" t="s">
        <v>290</v>
      </c>
      <c r="W111" s="125" t="s">
        <v>112</v>
      </c>
      <c r="X111" s="125" t="s">
        <v>1542</v>
      </c>
      <c r="Y111" s="125">
        <v>1</v>
      </c>
      <c r="Z111" s="125"/>
      <c r="AA111" s="125" t="s">
        <v>1543</v>
      </c>
      <c r="AB111" s="125" t="s">
        <v>1543</v>
      </c>
      <c r="AC111" s="125">
        <v>77381</v>
      </c>
      <c r="AD111" s="51" t="s">
        <v>1544</v>
      </c>
      <c r="AE111" s="51"/>
      <c r="AF111" s="567" t="s">
        <v>1545</v>
      </c>
      <c r="AG111" s="411" t="s">
        <v>1546</v>
      </c>
      <c r="AH111" s="51"/>
      <c r="AI111" s="51"/>
      <c r="AJ111" s="51" t="s">
        <v>1547</v>
      </c>
      <c r="AK111" s="379" t="s">
        <v>1548</v>
      </c>
      <c r="AL111" s="115" t="str">
        <f ca="1" t="shared" si="27"/>
        <v>14 Tahun 4 Bulan </v>
      </c>
      <c r="AM111" s="51" t="s">
        <v>1549</v>
      </c>
      <c r="AN111" s="51" t="s">
        <v>93</v>
      </c>
      <c r="AO111" s="51" t="s">
        <v>1550</v>
      </c>
      <c r="AP111" s="51" t="s">
        <v>838</v>
      </c>
      <c r="AQ111" s="51" t="s">
        <v>1551</v>
      </c>
      <c r="AR111" s="51"/>
      <c r="AS111" s="51" t="s">
        <v>1552</v>
      </c>
      <c r="AT111" s="51"/>
      <c r="AU111" s="51"/>
      <c r="AV111" s="51" t="s">
        <v>1553</v>
      </c>
      <c r="AW111" s="51" t="s">
        <v>100</v>
      </c>
      <c r="AX111" s="51" t="s">
        <v>101</v>
      </c>
      <c r="AY111" s="393" t="s">
        <v>1554</v>
      </c>
      <c r="AZ111" s="51"/>
      <c r="BA111" s="51"/>
      <c r="BB111" s="393" t="s">
        <v>1555</v>
      </c>
      <c r="BC111" s="51"/>
      <c r="BD111" s="51"/>
      <c r="BE111" s="51"/>
      <c r="BF111" s="51"/>
      <c r="BG111" s="51" t="s">
        <v>1556</v>
      </c>
      <c r="BH111" s="51" t="s">
        <v>105</v>
      </c>
      <c r="BI111" s="51" t="s">
        <v>88</v>
      </c>
      <c r="BJ111" s="51" t="s">
        <v>1557</v>
      </c>
      <c r="BK111" s="567" t="s">
        <v>1558</v>
      </c>
      <c r="BL111" s="284"/>
    </row>
    <row r="112" s="1" customFormat="1" ht="63.75" customHeight="1" spans="1:64">
      <c r="A112" s="54">
        <v>107</v>
      </c>
      <c r="B112" s="51">
        <v>5023</v>
      </c>
      <c r="C112" s="51" t="s">
        <v>1536</v>
      </c>
      <c r="D112" s="51" t="s">
        <v>76</v>
      </c>
      <c r="E112" s="51" t="s">
        <v>1537</v>
      </c>
      <c r="F112" s="51"/>
      <c r="G112" s="51" t="s">
        <v>1559</v>
      </c>
      <c r="H112" s="51" t="s">
        <v>161</v>
      </c>
      <c r="I112" s="113" t="str">
        <f t="shared" si="14"/>
        <v>Tuminah, SE</v>
      </c>
      <c r="J112" s="51" t="s">
        <v>80</v>
      </c>
      <c r="K112" s="102" t="str">
        <f t="shared" si="24"/>
        <v>Perempuan</v>
      </c>
      <c r="L112" s="51" t="s">
        <v>1539</v>
      </c>
      <c r="M112" s="379">
        <v>31417</v>
      </c>
      <c r="N112" s="115" t="str">
        <f ca="1" t="shared" si="15"/>
        <v>39 Tahun 9 Bulan </v>
      </c>
      <c r="O112" s="380">
        <v>31533</v>
      </c>
      <c r="P112" s="105">
        <f ca="1" t="shared" si="21"/>
        <v>39</v>
      </c>
      <c r="Q112" s="105" t="str">
        <f ca="1" t="shared" si="22"/>
        <v>OKE</v>
      </c>
      <c r="R112" s="567" t="s">
        <v>1560</v>
      </c>
      <c r="S112" s="51"/>
      <c r="T112" s="51"/>
      <c r="U112" s="393" t="s">
        <v>129</v>
      </c>
      <c r="V112" s="394" t="s">
        <v>290</v>
      </c>
      <c r="W112" s="51" t="s">
        <v>112</v>
      </c>
      <c r="X112" s="51" t="s">
        <v>1542</v>
      </c>
      <c r="Y112" s="51">
        <v>2</v>
      </c>
      <c r="Z112" s="51"/>
      <c r="AA112" s="51" t="s">
        <v>1543</v>
      </c>
      <c r="AB112" s="51" t="s">
        <v>1543</v>
      </c>
      <c r="AC112" s="567" t="s">
        <v>1561</v>
      </c>
      <c r="AD112" s="51" t="s">
        <v>1544</v>
      </c>
      <c r="AE112" s="51"/>
      <c r="AF112" s="567" t="s">
        <v>1562</v>
      </c>
      <c r="AG112" s="411" t="s">
        <v>1563</v>
      </c>
      <c r="AH112" s="51"/>
      <c r="AI112" s="51"/>
      <c r="AJ112" s="51" t="s">
        <v>1564</v>
      </c>
      <c r="AK112" s="379">
        <v>40728</v>
      </c>
      <c r="AL112" s="115" t="str">
        <f ca="1" t="shared" si="27"/>
        <v>14 Tahun 4 Bulan </v>
      </c>
      <c r="AM112" s="51" t="s">
        <v>92</v>
      </c>
      <c r="AN112" s="51" t="s">
        <v>93</v>
      </c>
      <c r="AO112" s="51" t="s">
        <v>1565</v>
      </c>
      <c r="AP112" s="51" t="s">
        <v>838</v>
      </c>
      <c r="AQ112" s="51" t="s">
        <v>1566</v>
      </c>
      <c r="AR112" s="51"/>
      <c r="AS112" s="51" t="s">
        <v>1378</v>
      </c>
      <c r="AT112" s="51"/>
      <c r="AU112" s="51"/>
      <c r="AV112" s="51" t="s">
        <v>1567</v>
      </c>
      <c r="AW112" s="51" t="s">
        <v>100</v>
      </c>
      <c r="AX112" s="51" t="s">
        <v>101</v>
      </c>
      <c r="AY112" s="51" t="s">
        <v>1568</v>
      </c>
      <c r="AZ112" s="51"/>
      <c r="BA112" s="51"/>
      <c r="BB112" s="393" t="s">
        <v>1569</v>
      </c>
      <c r="BC112" s="51"/>
      <c r="BD112" s="51"/>
      <c r="BE112" s="51"/>
      <c r="BF112" s="51"/>
      <c r="BG112" s="51" t="s">
        <v>1556</v>
      </c>
      <c r="BH112" s="51" t="s">
        <v>105</v>
      </c>
      <c r="BI112" s="51" t="s">
        <v>88</v>
      </c>
      <c r="BJ112" s="51" t="s">
        <v>1570</v>
      </c>
      <c r="BK112" s="567" t="s">
        <v>1571</v>
      </c>
      <c r="BL112" s="284"/>
    </row>
    <row r="113" s="1" customFormat="1" ht="42.75" customHeight="1" spans="1:64">
      <c r="A113" s="54">
        <v>108</v>
      </c>
      <c r="B113" s="51">
        <v>5024</v>
      </c>
      <c r="C113" s="51" t="s">
        <v>1536</v>
      </c>
      <c r="D113" s="51" t="s">
        <v>76</v>
      </c>
      <c r="E113" s="51" t="s">
        <v>1537</v>
      </c>
      <c r="F113" s="51"/>
      <c r="G113" s="51" t="s">
        <v>1572</v>
      </c>
      <c r="H113" s="51"/>
      <c r="I113" s="113" t="str">
        <f t="shared" si="14"/>
        <v>Lili Yanti</v>
      </c>
      <c r="J113" s="51" t="s">
        <v>80</v>
      </c>
      <c r="K113" s="102" t="str">
        <f t="shared" si="24"/>
        <v>Perempuan</v>
      </c>
      <c r="L113" s="51" t="s">
        <v>1539</v>
      </c>
      <c r="M113" s="379" t="s">
        <v>1573</v>
      </c>
      <c r="N113" s="115" t="str">
        <f ca="1" t="shared" si="15"/>
        <v>40 Tahun 10 Bulan </v>
      </c>
      <c r="O113" s="380">
        <v>31032</v>
      </c>
      <c r="P113" s="105">
        <f ca="1" t="shared" si="21"/>
        <v>40</v>
      </c>
      <c r="Q113" s="105" t="str">
        <f ca="1" t="shared" si="22"/>
        <v>OKE</v>
      </c>
      <c r="R113" s="567" t="s">
        <v>1574</v>
      </c>
      <c r="S113" s="51"/>
      <c r="T113" s="51"/>
      <c r="U113" s="393" t="s">
        <v>129</v>
      </c>
      <c r="V113" s="394" t="s">
        <v>290</v>
      </c>
      <c r="W113" s="51" t="s">
        <v>112</v>
      </c>
      <c r="X113" s="51" t="s">
        <v>1542</v>
      </c>
      <c r="Y113" s="51">
        <v>1</v>
      </c>
      <c r="Z113" s="51"/>
      <c r="AA113" s="51" t="s">
        <v>1543</v>
      </c>
      <c r="AB113" s="51" t="s">
        <v>1543</v>
      </c>
      <c r="AC113" s="567" t="s">
        <v>1561</v>
      </c>
      <c r="AD113" s="51" t="s">
        <v>1544</v>
      </c>
      <c r="AE113" s="51"/>
      <c r="AF113" s="567" t="s">
        <v>1575</v>
      </c>
      <c r="AG113" s="411" t="s">
        <v>1576</v>
      </c>
      <c r="AH113" s="51"/>
      <c r="AI113" s="51"/>
      <c r="AJ113" s="51" t="s">
        <v>765</v>
      </c>
      <c r="AK113" s="379">
        <v>41641</v>
      </c>
      <c r="AL113" s="115" t="str">
        <f ca="1" t="shared" si="27"/>
        <v>11 Tahun 10 Bulan </v>
      </c>
      <c r="AM113" s="51" t="s">
        <v>1549</v>
      </c>
      <c r="AN113" s="51" t="s">
        <v>93</v>
      </c>
      <c r="AO113" s="51" t="s">
        <v>1577</v>
      </c>
      <c r="AP113" s="51" t="s">
        <v>838</v>
      </c>
      <c r="AQ113" s="51" t="s">
        <v>1578</v>
      </c>
      <c r="AR113" s="51"/>
      <c r="AS113" s="51" t="s">
        <v>1378</v>
      </c>
      <c r="AT113" s="51"/>
      <c r="AU113" s="51"/>
      <c r="AV113" s="51" t="s">
        <v>1579</v>
      </c>
      <c r="AW113" s="51" t="s">
        <v>100</v>
      </c>
      <c r="AX113" s="393" t="s">
        <v>120</v>
      </c>
      <c r="AY113" s="51"/>
      <c r="AZ113" s="51"/>
      <c r="BA113" s="51"/>
      <c r="BB113" s="51" t="s">
        <v>1580</v>
      </c>
      <c r="BC113" s="51"/>
      <c r="BD113" s="51"/>
      <c r="BE113" s="51"/>
      <c r="BF113" s="51"/>
      <c r="BG113" s="51" t="s">
        <v>1556</v>
      </c>
      <c r="BH113" s="51" t="s">
        <v>105</v>
      </c>
      <c r="BI113" s="51" t="s">
        <v>88</v>
      </c>
      <c r="BJ113" s="51" t="s">
        <v>1581</v>
      </c>
      <c r="BK113" s="567" t="s">
        <v>1582</v>
      </c>
      <c r="BL113" s="284"/>
    </row>
    <row r="114" s="293" customFormat="1" ht="30.75" customHeight="1" spans="1:64">
      <c r="A114" s="54">
        <v>109</v>
      </c>
      <c r="B114" s="51">
        <v>5025</v>
      </c>
      <c r="C114" s="51" t="s">
        <v>1536</v>
      </c>
      <c r="D114" s="51" t="s">
        <v>76</v>
      </c>
      <c r="E114" s="51" t="s">
        <v>1537</v>
      </c>
      <c r="F114" s="51"/>
      <c r="G114" s="51" t="s">
        <v>1583</v>
      </c>
      <c r="H114" s="51"/>
      <c r="I114" s="113" t="str">
        <f t="shared" si="14"/>
        <v>Herlina Parrangan</v>
      </c>
      <c r="J114" s="51" t="s">
        <v>1584</v>
      </c>
      <c r="K114" s="102" t="str">
        <f t="shared" si="24"/>
        <v>Perempuan</v>
      </c>
      <c r="L114" s="381" t="s">
        <v>1585</v>
      </c>
      <c r="M114" s="379">
        <v>31937</v>
      </c>
      <c r="N114" s="115" t="str">
        <f ca="1" t="shared" si="15"/>
        <v>38 Tahun 4 Bulan </v>
      </c>
      <c r="O114" s="380">
        <v>32026</v>
      </c>
      <c r="P114" s="105">
        <f ca="1" t="shared" si="21"/>
        <v>38</v>
      </c>
      <c r="Q114" s="105" t="str">
        <f ca="1" t="shared" si="22"/>
        <v>OKE</v>
      </c>
      <c r="R114" s="567" t="s">
        <v>1586</v>
      </c>
      <c r="S114" s="58"/>
      <c r="T114" s="58"/>
      <c r="U114" s="393" t="s">
        <v>848</v>
      </c>
      <c r="V114" s="394" t="s">
        <v>290</v>
      </c>
      <c r="W114" s="58" t="s">
        <v>1587</v>
      </c>
      <c r="X114" s="51" t="s">
        <v>1542</v>
      </c>
      <c r="Y114" s="51">
        <v>2</v>
      </c>
      <c r="Z114" s="58"/>
      <c r="AA114" s="51" t="s">
        <v>1543</v>
      </c>
      <c r="AB114" s="51" t="s">
        <v>1543</v>
      </c>
      <c r="AC114" s="58">
        <v>77381</v>
      </c>
      <c r="AD114" s="51" t="s">
        <v>1544</v>
      </c>
      <c r="AE114" s="58"/>
      <c r="AF114" s="567" t="s">
        <v>1588</v>
      </c>
      <c r="AG114" s="411" t="s">
        <v>1589</v>
      </c>
      <c r="AH114" s="58"/>
      <c r="AI114" s="58"/>
      <c r="AJ114" s="51" t="s">
        <v>765</v>
      </c>
      <c r="AK114" s="379">
        <v>37988</v>
      </c>
      <c r="AL114" s="115" t="str">
        <f ca="1" t="shared" si="27"/>
        <v>21 Tahun 10 Bulan </v>
      </c>
      <c r="AM114" s="51" t="s">
        <v>1549</v>
      </c>
      <c r="AN114" s="51" t="s">
        <v>93</v>
      </c>
      <c r="AO114" s="51" t="s">
        <v>1590</v>
      </c>
      <c r="AP114" s="51" t="s">
        <v>838</v>
      </c>
      <c r="AQ114" s="51" t="s">
        <v>1591</v>
      </c>
      <c r="AR114" s="51"/>
      <c r="AS114" s="51" t="s">
        <v>1378</v>
      </c>
      <c r="AT114" s="51"/>
      <c r="AU114" s="51"/>
      <c r="AV114" s="51"/>
      <c r="AW114" s="51" t="s">
        <v>100</v>
      </c>
      <c r="AX114" s="393" t="s">
        <v>120</v>
      </c>
      <c r="AY114" s="51"/>
      <c r="AZ114" s="51"/>
      <c r="BA114" s="51"/>
      <c r="BB114" s="51" t="s">
        <v>1592</v>
      </c>
      <c r="BC114" s="51"/>
      <c r="BD114" s="51"/>
      <c r="BE114" s="51"/>
      <c r="BF114" s="51"/>
      <c r="BG114" s="51" t="s">
        <v>1556</v>
      </c>
      <c r="BH114" s="51" t="s">
        <v>105</v>
      </c>
      <c r="BI114" s="51" t="s">
        <v>88</v>
      </c>
      <c r="BJ114" s="51" t="s">
        <v>1593</v>
      </c>
      <c r="BK114" s="567" t="s">
        <v>1594</v>
      </c>
      <c r="BL114" s="428"/>
    </row>
    <row r="115" s="1" customFormat="1" ht="31.5" customHeight="1" spans="1:64">
      <c r="A115" s="54">
        <v>110</v>
      </c>
      <c r="B115" s="51">
        <v>5022</v>
      </c>
      <c r="C115" s="51" t="s">
        <v>1536</v>
      </c>
      <c r="D115" s="51" t="s">
        <v>76</v>
      </c>
      <c r="E115" s="51" t="s">
        <v>1537</v>
      </c>
      <c r="F115" s="51"/>
      <c r="G115" s="51" t="s">
        <v>1595</v>
      </c>
      <c r="H115" s="51" t="s">
        <v>177</v>
      </c>
      <c r="I115" s="113" t="str">
        <f t="shared" si="14"/>
        <v>Sujatmono, S.Pd</v>
      </c>
      <c r="J115" s="51" t="s">
        <v>127</v>
      </c>
      <c r="K115" s="102" t="str">
        <f t="shared" si="24"/>
        <v>Laki-laki</v>
      </c>
      <c r="L115" s="51" t="s">
        <v>1539</v>
      </c>
      <c r="M115" s="379" t="s">
        <v>1596</v>
      </c>
      <c r="N115" s="115" t="str">
        <f ca="1" t="shared" si="15"/>
        <v>51 Tahun 0 Bulan </v>
      </c>
      <c r="O115" s="380">
        <v>27330</v>
      </c>
      <c r="P115" s="105">
        <f ca="1" t="shared" si="21"/>
        <v>51</v>
      </c>
      <c r="Q115" s="105" t="str">
        <f ca="1" t="shared" si="22"/>
        <v>OKE</v>
      </c>
      <c r="R115" s="567" t="s">
        <v>1597</v>
      </c>
      <c r="S115" s="58"/>
      <c r="T115" s="58"/>
      <c r="U115" s="51" t="s">
        <v>274</v>
      </c>
      <c r="V115" s="394" t="s">
        <v>290</v>
      </c>
      <c r="W115" s="51" t="s">
        <v>112</v>
      </c>
      <c r="X115" s="51" t="s">
        <v>1542</v>
      </c>
      <c r="Y115" s="51">
        <v>1</v>
      </c>
      <c r="Z115" s="58"/>
      <c r="AA115" s="51" t="s">
        <v>1543</v>
      </c>
      <c r="AB115" s="51" t="s">
        <v>1543</v>
      </c>
      <c r="AC115" s="58">
        <v>77381</v>
      </c>
      <c r="AD115" s="51" t="s">
        <v>1544</v>
      </c>
      <c r="AE115" s="58"/>
      <c r="AF115" s="567" t="s">
        <v>1598</v>
      </c>
      <c r="AG115" s="411" t="s">
        <v>1599</v>
      </c>
      <c r="AH115" s="53"/>
      <c r="AI115" s="53"/>
      <c r="AJ115" s="51" t="s">
        <v>1600</v>
      </c>
      <c r="AK115" s="379">
        <v>40728</v>
      </c>
      <c r="AL115" s="115" t="str">
        <f ca="1" t="shared" si="27"/>
        <v>14 Tahun 4 Bulan </v>
      </c>
      <c r="AM115" s="51" t="s">
        <v>92</v>
      </c>
      <c r="AN115" s="51" t="s">
        <v>93</v>
      </c>
      <c r="AO115" s="51" t="s">
        <v>1601</v>
      </c>
      <c r="AP115" s="51" t="s">
        <v>838</v>
      </c>
      <c r="AQ115" s="51" t="s">
        <v>1602</v>
      </c>
      <c r="AR115" s="51"/>
      <c r="AS115" s="51" t="s">
        <v>941</v>
      </c>
      <c r="AT115" s="281"/>
      <c r="AU115" s="52"/>
      <c r="AV115" s="281"/>
      <c r="AW115" s="51" t="s">
        <v>100</v>
      </c>
      <c r="AX115" s="393" t="s">
        <v>120</v>
      </c>
      <c r="AY115" s="52"/>
      <c r="AZ115" s="281"/>
      <c r="BA115" s="281"/>
      <c r="BB115" s="51" t="s">
        <v>1603</v>
      </c>
      <c r="BC115" s="281"/>
      <c r="BD115" s="281"/>
      <c r="BE115" s="281"/>
      <c r="BF115" s="281"/>
      <c r="BG115" s="51" t="s">
        <v>1603</v>
      </c>
      <c r="BH115" s="281" t="s">
        <v>105</v>
      </c>
      <c r="BI115" s="52" t="s">
        <v>88</v>
      </c>
      <c r="BJ115" s="51" t="s">
        <v>1604</v>
      </c>
      <c r="BK115" s="567" t="s">
        <v>1605</v>
      </c>
      <c r="BL115" s="284"/>
    </row>
    <row r="116" customFormat="1" ht="51" customHeight="1" spans="1:63">
      <c r="A116" s="54">
        <v>111</v>
      </c>
      <c r="B116" s="51">
        <v>5014</v>
      </c>
      <c r="C116" s="51" t="s">
        <v>1536</v>
      </c>
      <c r="D116" s="51" t="s">
        <v>76</v>
      </c>
      <c r="E116" s="51" t="s">
        <v>1537</v>
      </c>
      <c r="F116" s="51"/>
      <c r="G116" s="51" t="s">
        <v>1606</v>
      </c>
      <c r="H116" s="51" t="s">
        <v>177</v>
      </c>
      <c r="I116" s="113" t="str">
        <f t="shared" si="14"/>
        <v>Dedi Iswanto, S.Pd</v>
      </c>
      <c r="J116" s="51" t="s">
        <v>127</v>
      </c>
      <c r="K116" s="102" t="str">
        <f t="shared" si="24"/>
        <v>Laki-laki</v>
      </c>
      <c r="L116" s="51" t="s">
        <v>1607</v>
      </c>
      <c r="M116" s="109">
        <v>33228</v>
      </c>
      <c r="N116" s="115" t="str">
        <f ca="1" t="shared" si="15"/>
        <v>34 Tahun 10 Bulan </v>
      </c>
      <c r="O116" s="382">
        <v>33228</v>
      </c>
      <c r="P116" s="105">
        <f ca="1" t="shared" si="21"/>
        <v>34</v>
      </c>
      <c r="Q116" s="105" t="str">
        <f ca="1" t="shared" si="22"/>
        <v>OKE</v>
      </c>
      <c r="R116" s="567" t="s">
        <v>1608</v>
      </c>
      <c r="S116" s="51"/>
      <c r="T116" s="51"/>
      <c r="U116" s="51" t="s">
        <v>83</v>
      </c>
      <c r="V116" s="394" t="s">
        <v>290</v>
      </c>
      <c r="W116" s="51" t="s">
        <v>112</v>
      </c>
      <c r="X116" s="51" t="s">
        <v>1542</v>
      </c>
      <c r="Y116" s="51">
        <v>2</v>
      </c>
      <c r="Z116" s="51"/>
      <c r="AA116" s="51" t="s">
        <v>1543</v>
      </c>
      <c r="AB116" s="51" t="s">
        <v>1543</v>
      </c>
      <c r="AC116" s="567" t="s">
        <v>1561</v>
      </c>
      <c r="AD116" s="51" t="s">
        <v>1544</v>
      </c>
      <c r="AE116" s="51"/>
      <c r="AF116" s="567" t="s">
        <v>1609</v>
      </c>
      <c r="AG116" s="412" t="s">
        <v>1610</v>
      </c>
      <c r="AH116" s="51"/>
      <c r="AI116" s="51"/>
      <c r="AJ116" s="51" t="s">
        <v>1611</v>
      </c>
      <c r="AK116" s="604" t="s">
        <v>952</v>
      </c>
      <c r="AL116" s="115" t="str">
        <f ca="1" t="shared" si="27"/>
        <v>11 Tahun 4 Bulan </v>
      </c>
      <c r="AM116" s="51" t="s">
        <v>92</v>
      </c>
      <c r="AN116" s="51" t="s">
        <v>93</v>
      </c>
      <c r="AO116" s="51" t="s">
        <v>1612</v>
      </c>
      <c r="AP116" s="51" t="s">
        <v>838</v>
      </c>
      <c r="AQ116" s="51" t="s">
        <v>1613</v>
      </c>
      <c r="AR116" s="51"/>
      <c r="AS116" s="51" t="s">
        <v>1378</v>
      </c>
      <c r="AT116" s="51"/>
      <c r="AU116" s="51"/>
      <c r="AV116" s="567" t="s">
        <v>1614</v>
      </c>
      <c r="AW116" s="51" t="s">
        <v>100</v>
      </c>
      <c r="AX116" s="51" t="s">
        <v>101</v>
      </c>
      <c r="AY116" s="51" t="s">
        <v>1615</v>
      </c>
      <c r="AZ116" s="51"/>
      <c r="BA116" s="51"/>
      <c r="BB116" s="420" t="s">
        <v>1616</v>
      </c>
      <c r="BC116" s="51" t="s">
        <v>1617</v>
      </c>
      <c r="BD116" s="51"/>
      <c r="BE116" s="51">
        <v>16</v>
      </c>
      <c r="BF116" s="51">
        <f>SUM(BD116:BE116)</f>
        <v>16</v>
      </c>
      <c r="BG116" s="51" t="s">
        <v>1618</v>
      </c>
      <c r="BH116" s="51" t="s">
        <v>105</v>
      </c>
      <c r="BI116" s="51" t="s">
        <v>88</v>
      </c>
      <c r="BJ116" s="51" t="s">
        <v>1619</v>
      </c>
      <c r="BK116" s="567" t="s">
        <v>1620</v>
      </c>
    </row>
    <row r="117" customFormat="1" ht="48" customHeight="1" spans="1:63">
      <c r="A117" s="54">
        <v>112</v>
      </c>
      <c r="B117" s="51">
        <v>5015</v>
      </c>
      <c r="C117" s="51" t="s">
        <v>1536</v>
      </c>
      <c r="D117" s="51" t="s">
        <v>76</v>
      </c>
      <c r="E117" s="51" t="s">
        <v>1537</v>
      </c>
      <c r="F117" s="51"/>
      <c r="G117" s="51" t="s">
        <v>1621</v>
      </c>
      <c r="H117" s="51" t="s">
        <v>177</v>
      </c>
      <c r="I117" s="113" t="str">
        <f t="shared" si="14"/>
        <v>Husnan, S.Pd</v>
      </c>
      <c r="J117" s="51" t="s">
        <v>127</v>
      </c>
      <c r="K117" s="102" t="str">
        <f t="shared" si="24"/>
        <v>Laki-laki</v>
      </c>
      <c r="L117" s="51" t="s">
        <v>1622</v>
      </c>
      <c r="M117" s="379" t="s">
        <v>1623</v>
      </c>
      <c r="N117" s="115" t="str">
        <f ca="1" t="shared" si="15"/>
        <v>37 Tahun 10 Bulan </v>
      </c>
      <c r="O117" s="380">
        <v>32139</v>
      </c>
      <c r="P117" s="105">
        <f ca="1" t="shared" si="21"/>
        <v>37</v>
      </c>
      <c r="Q117" s="105" t="str">
        <f ca="1" t="shared" si="22"/>
        <v>OKE</v>
      </c>
      <c r="R117" s="567" t="s">
        <v>1624</v>
      </c>
      <c r="S117" s="51"/>
      <c r="T117" s="51"/>
      <c r="U117" s="51" t="s">
        <v>83</v>
      </c>
      <c r="V117" s="394" t="s">
        <v>290</v>
      </c>
      <c r="W117" s="51" t="s">
        <v>112</v>
      </c>
      <c r="X117" s="51" t="s">
        <v>1542</v>
      </c>
      <c r="Y117" s="51">
        <v>2</v>
      </c>
      <c r="Z117" s="51"/>
      <c r="AA117" s="51" t="s">
        <v>1543</v>
      </c>
      <c r="AB117" s="51" t="s">
        <v>1543</v>
      </c>
      <c r="AC117" s="567" t="s">
        <v>1561</v>
      </c>
      <c r="AD117" s="51" t="s">
        <v>1544</v>
      </c>
      <c r="AE117" s="51"/>
      <c r="AF117" s="567" t="s">
        <v>1625</v>
      </c>
      <c r="AG117" s="411" t="s">
        <v>1626</v>
      </c>
      <c r="AH117" s="51"/>
      <c r="AI117" s="51"/>
      <c r="AJ117" s="51" t="s">
        <v>1627</v>
      </c>
      <c r="AK117" s="605" t="s">
        <v>152</v>
      </c>
      <c r="AL117" s="115" t="str">
        <f ca="1" t="shared" si="27"/>
        <v>12 Tahun 10 Bulan </v>
      </c>
      <c r="AM117" s="51" t="s">
        <v>1549</v>
      </c>
      <c r="AN117" s="51" t="s">
        <v>93</v>
      </c>
      <c r="AO117" s="51" t="s">
        <v>1628</v>
      </c>
      <c r="AP117" s="51" t="s">
        <v>838</v>
      </c>
      <c r="AQ117" s="51" t="s">
        <v>1629</v>
      </c>
      <c r="AR117" s="51"/>
      <c r="AS117" s="51" t="s">
        <v>1378</v>
      </c>
      <c r="AT117" s="51"/>
      <c r="AU117" s="51"/>
      <c r="AV117" s="51" t="s">
        <v>1630</v>
      </c>
      <c r="AW117" s="51" t="s">
        <v>100</v>
      </c>
      <c r="AX117" s="51" t="s">
        <v>101</v>
      </c>
      <c r="AY117" s="51" t="s">
        <v>1631</v>
      </c>
      <c r="AZ117" s="51"/>
      <c r="BA117" s="51"/>
      <c r="BB117" s="420" t="s">
        <v>1632</v>
      </c>
      <c r="BC117" s="393" t="s">
        <v>1633</v>
      </c>
      <c r="BD117" s="51"/>
      <c r="BE117" s="51">
        <v>16</v>
      </c>
      <c r="BF117" s="51">
        <f>SUM(BD117:BE117)</f>
        <v>16</v>
      </c>
      <c r="BG117" s="51" t="s">
        <v>1634</v>
      </c>
      <c r="BH117" s="51" t="s">
        <v>105</v>
      </c>
      <c r="BI117" s="51" t="s">
        <v>88</v>
      </c>
      <c r="BJ117" s="51" t="s">
        <v>1635</v>
      </c>
      <c r="BK117" s="567" t="s">
        <v>1636</v>
      </c>
    </row>
    <row r="118" customFormat="1" ht="29" spans="1:63">
      <c r="A118" s="54">
        <v>113</v>
      </c>
      <c r="B118" s="51">
        <v>5013</v>
      </c>
      <c r="C118" s="51" t="s">
        <v>1536</v>
      </c>
      <c r="D118" s="51" t="s">
        <v>76</v>
      </c>
      <c r="E118" s="51" t="s">
        <v>1537</v>
      </c>
      <c r="F118" s="51"/>
      <c r="G118" s="51" t="s">
        <v>1637</v>
      </c>
      <c r="H118" s="51" t="s">
        <v>177</v>
      </c>
      <c r="I118" s="113" t="str">
        <f t="shared" si="14"/>
        <v>MATIUS RERUNG, S.Pd</v>
      </c>
      <c r="J118" s="51" t="s">
        <v>127</v>
      </c>
      <c r="K118" s="102" t="str">
        <f t="shared" si="24"/>
        <v>Laki-laki</v>
      </c>
      <c r="L118" s="51" t="s">
        <v>1638</v>
      </c>
      <c r="M118" s="379">
        <v>30961</v>
      </c>
      <c r="N118" s="115" t="str">
        <f ca="1" t="shared" si="15"/>
        <v>41 Tahun 0 Bulan </v>
      </c>
      <c r="O118" s="380">
        <v>30843</v>
      </c>
      <c r="P118" s="105">
        <f ca="1" t="shared" si="21"/>
        <v>41</v>
      </c>
      <c r="Q118" s="105" t="str">
        <f ca="1" t="shared" si="22"/>
        <v>OKE</v>
      </c>
      <c r="R118" s="567" t="s">
        <v>1639</v>
      </c>
      <c r="S118" s="51"/>
      <c r="T118" s="51"/>
      <c r="U118" s="51" t="s">
        <v>83</v>
      </c>
      <c r="V118" s="394" t="s">
        <v>290</v>
      </c>
      <c r="W118" s="51" t="s">
        <v>1587</v>
      </c>
      <c r="X118" s="51" t="s">
        <v>1542</v>
      </c>
      <c r="Y118" s="51">
        <v>2</v>
      </c>
      <c r="Z118" s="51"/>
      <c r="AA118" s="51" t="s">
        <v>1543</v>
      </c>
      <c r="AB118" s="51" t="s">
        <v>1543</v>
      </c>
      <c r="AC118" s="567" t="s">
        <v>1561</v>
      </c>
      <c r="AD118" s="51" t="s">
        <v>1544</v>
      </c>
      <c r="AE118" s="51"/>
      <c r="AF118" s="567" t="s">
        <v>1640</v>
      </c>
      <c r="AG118" s="411" t="s">
        <v>1641</v>
      </c>
      <c r="AH118" s="51"/>
      <c r="AI118" s="51"/>
      <c r="AJ118" s="51" t="s">
        <v>1642</v>
      </c>
      <c r="AK118" s="379" t="s">
        <v>1548</v>
      </c>
      <c r="AL118" s="115" t="str">
        <f ca="1" t="shared" si="27"/>
        <v>14 Tahun 4 Bulan </v>
      </c>
      <c r="AM118" s="51" t="s">
        <v>1549</v>
      </c>
      <c r="AN118" s="51" t="s">
        <v>93</v>
      </c>
      <c r="AO118" s="51" t="s">
        <v>1643</v>
      </c>
      <c r="AP118" s="51" t="s">
        <v>838</v>
      </c>
      <c r="AQ118" s="51" t="s">
        <v>1593</v>
      </c>
      <c r="AR118" s="51"/>
      <c r="AS118" s="51" t="s">
        <v>1378</v>
      </c>
      <c r="AT118" s="51"/>
      <c r="AU118" s="51"/>
      <c r="AV118" s="51" t="s">
        <v>1644</v>
      </c>
      <c r="AW118" s="51" t="s">
        <v>100</v>
      </c>
      <c r="AX118" s="51" t="s">
        <v>101</v>
      </c>
      <c r="AY118" s="393" t="s">
        <v>1645</v>
      </c>
      <c r="AZ118" s="51"/>
      <c r="BA118" s="51"/>
      <c r="BB118" s="393" t="s">
        <v>1646</v>
      </c>
      <c r="BC118" s="393" t="s">
        <v>1647</v>
      </c>
      <c r="BD118" s="51"/>
      <c r="BE118" s="51">
        <v>16</v>
      </c>
      <c r="BF118" s="51">
        <f>SUM(BD118:BE118)</f>
        <v>16</v>
      </c>
      <c r="BG118" s="51" t="s">
        <v>1648</v>
      </c>
      <c r="BH118" s="51" t="s">
        <v>105</v>
      </c>
      <c r="BI118" s="51" t="s">
        <v>88</v>
      </c>
      <c r="BJ118" s="51" t="s">
        <v>1637</v>
      </c>
      <c r="BK118" s="567" t="s">
        <v>1649</v>
      </c>
    </row>
    <row r="119" customFormat="1" spans="1:63">
      <c r="A119" s="54">
        <v>114</v>
      </c>
      <c r="B119" s="51">
        <v>5019</v>
      </c>
      <c r="C119" s="51" t="s">
        <v>1536</v>
      </c>
      <c r="D119" s="51" t="s">
        <v>76</v>
      </c>
      <c r="E119" s="51" t="s">
        <v>1537</v>
      </c>
      <c r="F119" s="51"/>
      <c r="G119" s="51" t="s">
        <v>1650</v>
      </c>
      <c r="H119" s="51" t="s">
        <v>177</v>
      </c>
      <c r="I119" s="113" t="str">
        <f t="shared" si="14"/>
        <v>Risca Indah Sari Valentine, S.Pd</v>
      </c>
      <c r="J119" s="51" t="s">
        <v>80</v>
      </c>
      <c r="K119" s="102" t="str">
        <f t="shared" si="24"/>
        <v>Perempuan</v>
      </c>
      <c r="L119" s="51" t="s">
        <v>88</v>
      </c>
      <c r="M119" s="379">
        <v>33919</v>
      </c>
      <c r="N119" s="115" t="str">
        <f ca="1" t="shared" si="15"/>
        <v>32 Tahun 11 Bulan </v>
      </c>
      <c r="O119" s="380">
        <v>33919</v>
      </c>
      <c r="P119" s="105">
        <f ca="1" t="shared" si="21"/>
        <v>32</v>
      </c>
      <c r="Q119" s="105" t="str">
        <f ca="1" t="shared" si="22"/>
        <v>OKE</v>
      </c>
      <c r="R119" s="567" t="s">
        <v>1651</v>
      </c>
      <c r="S119" s="51"/>
      <c r="T119" s="51"/>
      <c r="U119" s="51" t="s">
        <v>83</v>
      </c>
      <c r="V119" s="394" t="s">
        <v>290</v>
      </c>
      <c r="W119" s="51" t="s">
        <v>112</v>
      </c>
      <c r="X119" s="51" t="s">
        <v>1652</v>
      </c>
      <c r="Y119" s="51">
        <v>3</v>
      </c>
      <c r="Z119" s="51"/>
      <c r="AA119" s="51" t="s">
        <v>1653</v>
      </c>
      <c r="AB119" s="51" t="s">
        <v>1653</v>
      </c>
      <c r="AC119" s="567" t="s">
        <v>1561</v>
      </c>
      <c r="AD119" s="51" t="s">
        <v>1544</v>
      </c>
      <c r="AE119" s="51"/>
      <c r="AF119" s="567" t="s">
        <v>1654</v>
      </c>
      <c r="AG119" s="411" t="s">
        <v>1655</v>
      </c>
      <c r="AH119" s="51"/>
      <c r="AI119" s="51"/>
      <c r="AJ119" s="51" t="s">
        <v>1656</v>
      </c>
      <c r="AK119" s="379" t="s">
        <v>1657</v>
      </c>
      <c r="AL119" s="115" t="str">
        <f ca="1" t="shared" si="27"/>
        <v>10 Tahun 8 Bulan </v>
      </c>
      <c r="AM119" s="51" t="s">
        <v>92</v>
      </c>
      <c r="AN119" s="51" t="s">
        <v>93</v>
      </c>
      <c r="AO119" s="51" t="s">
        <v>1658</v>
      </c>
      <c r="AP119" s="393" t="s">
        <v>1659</v>
      </c>
      <c r="AQ119" s="51"/>
      <c r="AR119" s="51"/>
      <c r="AS119" s="51"/>
      <c r="AT119" s="51"/>
      <c r="AU119" s="51"/>
      <c r="AV119" s="51" t="s">
        <v>1660</v>
      </c>
      <c r="AW119" s="51" t="s">
        <v>100</v>
      </c>
      <c r="AX119" s="51" t="s">
        <v>101</v>
      </c>
      <c r="AY119" s="51" t="s">
        <v>1661</v>
      </c>
      <c r="AZ119" s="51"/>
      <c r="BA119" s="51"/>
      <c r="BB119" s="51" t="s">
        <v>1662</v>
      </c>
      <c r="BC119" s="51" t="s">
        <v>1661</v>
      </c>
      <c r="BD119" s="51"/>
      <c r="BE119" s="51">
        <v>16</v>
      </c>
      <c r="BF119" s="51">
        <v>16</v>
      </c>
      <c r="BG119" s="51" t="s">
        <v>685</v>
      </c>
      <c r="BH119" s="51" t="s">
        <v>105</v>
      </c>
      <c r="BI119" s="51" t="s">
        <v>1663</v>
      </c>
      <c r="BJ119" s="393" t="s">
        <v>1664</v>
      </c>
      <c r="BK119" s="567" t="s">
        <v>1665</v>
      </c>
    </row>
    <row r="120" customFormat="1" ht="38.25" customHeight="1" spans="1:63">
      <c r="A120" s="54">
        <v>115</v>
      </c>
      <c r="B120" s="51">
        <v>5016</v>
      </c>
      <c r="C120" s="51" t="s">
        <v>1536</v>
      </c>
      <c r="D120" s="51" t="s">
        <v>76</v>
      </c>
      <c r="E120" s="51" t="s">
        <v>1537</v>
      </c>
      <c r="F120" s="51"/>
      <c r="G120" s="51" t="s">
        <v>1666</v>
      </c>
      <c r="H120" s="51" t="s">
        <v>872</v>
      </c>
      <c r="I120" s="113" t="str">
        <f t="shared" si="14"/>
        <v>Werdianto, S.PdI</v>
      </c>
      <c r="J120" s="51" t="s">
        <v>127</v>
      </c>
      <c r="K120" s="102" t="str">
        <f t="shared" si="24"/>
        <v>Laki-laki</v>
      </c>
      <c r="L120" s="51" t="s">
        <v>1667</v>
      </c>
      <c r="M120" s="379" t="s">
        <v>1668</v>
      </c>
      <c r="N120" s="115" t="str">
        <f ca="1" t="shared" si="15"/>
        <v>40 Tahun 11 Bulan </v>
      </c>
      <c r="O120" s="380">
        <v>31009</v>
      </c>
      <c r="P120" s="105">
        <f ca="1" t="shared" si="21"/>
        <v>40</v>
      </c>
      <c r="Q120" s="105" t="str">
        <f ca="1" t="shared" si="22"/>
        <v>OKE</v>
      </c>
      <c r="R120" s="567" t="s">
        <v>1669</v>
      </c>
      <c r="S120" s="58"/>
      <c r="T120" s="58"/>
      <c r="U120" s="51" t="s">
        <v>83</v>
      </c>
      <c r="V120" s="394" t="s">
        <v>290</v>
      </c>
      <c r="W120" s="51" t="s">
        <v>112</v>
      </c>
      <c r="X120" s="51" t="s">
        <v>1542</v>
      </c>
      <c r="Y120" s="51">
        <v>2</v>
      </c>
      <c r="Z120" s="58"/>
      <c r="AA120" s="51" t="s">
        <v>1543</v>
      </c>
      <c r="AB120" s="51" t="s">
        <v>1543</v>
      </c>
      <c r="AC120" s="58">
        <v>77381</v>
      </c>
      <c r="AD120" s="51" t="s">
        <v>1544</v>
      </c>
      <c r="AE120" s="58"/>
      <c r="AF120" s="567" t="s">
        <v>1670</v>
      </c>
      <c r="AG120" s="411" t="s">
        <v>1671</v>
      </c>
      <c r="AH120" s="58"/>
      <c r="AI120" s="58"/>
      <c r="AJ120" s="51" t="s">
        <v>1672</v>
      </c>
      <c r="AK120" s="379">
        <v>41365</v>
      </c>
      <c r="AL120" s="115" t="str">
        <f ca="1" t="shared" si="27"/>
        <v>12 Tahun 7 Bulan </v>
      </c>
      <c r="AM120" s="51" t="s">
        <v>92</v>
      </c>
      <c r="AN120" s="51" t="s">
        <v>93</v>
      </c>
      <c r="AO120" s="51" t="s">
        <v>1673</v>
      </c>
      <c r="AP120" s="393" t="s">
        <v>1659</v>
      </c>
      <c r="AQ120" s="51"/>
      <c r="AR120" s="51"/>
      <c r="AS120" s="51" t="s">
        <v>1378</v>
      </c>
      <c r="AT120" s="51"/>
      <c r="AU120" s="51"/>
      <c r="AV120" s="51" t="s">
        <v>1674</v>
      </c>
      <c r="AW120" s="51" t="s">
        <v>100</v>
      </c>
      <c r="AX120" s="51" t="s">
        <v>101</v>
      </c>
      <c r="AY120" s="51" t="s">
        <v>1675</v>
      </c>
      <c r="AZ120" s="51"/>
      <c r="BA120" s="51"/>
      <c r="BB120" s="393" t="s">
        <v>1676</v>
      </c>
      <c r="BC120" s="393" t="s">
        <v>1677</v>
      </c>
      <c r="BD120" s="51"/>
      <c r="BE120" s="51">
        <v>16</v>
      </c>
      <c r="BF120" s="51">
        <v>16</v>
      </c>
      <c r="BG120" s="51" t="s">
        <v>816</v>
      </c>
      <c r="BH120" s="51" t="s">
        <v>105</v>
      </c>
      <c r="BI120" s="51" t="s">
        <v>88</v>
      </c>
      <c r="BJ120" s="51" t="s">
        <v>1678</v>
      </c>
      <c r="BK120" s="567" t="s">
        <v>1679</v>
      </c>
    </row>
    <row r="121" customFormat="1" ht="34.5" customHeight="1" spans="1:63">
      <c r="A121" s="54">
        <v>116</v>
      </c>
      <c r="B121" s="51">
        <v>5018</v>
      </c>
      <c r="C121" s="51" t="s">
        <v>1536</v>
      </c>
      <c r="D121" s="51" t="s">
        <v>76</v>
      </c>
      <c r="E121" s="51" t="s">
        <v>1537</v>
      </c>
      <c r="F121" s="51"/>
      <c r="G121" s="51" t="s">
        <v>1680</v>
      </c>
      <c r="H121" s="51" t="s">
        <v>872</v>
      </c>
      <c r="I121" s="113" t="str">
        <f t="shared" si="14"/>
        <v>M. Rifai, S.PdI</v>
      </c>
      <c r="J121" s="51" t="s">
        <v>127</v>
      </c>
      <c r="K121" s="102" t="str">
        <f t="shared" si="24"/>
        <v>Laki-laki</v>
      </c>
      <c r="L121" s="51" t="s">
        <v>1681</v>
      </c>
      <c r="M121" s="379">
        <v>30446</v>
      </c>
      <c r="N121" s="115" t="str">
        <f ca="1" t="shared" si="15"/>
        <v>42 Tahun 5 Bulan </v>
      </c>
      <c r="O121" s="380">
        <v>30594</v>
      </c>
      <c r="P121" s="105">
        <f ca="1" t="shared" si="21"/>
        <v>42</v>
      </c>
      <c r="Q121" s="105" t="str">
        <f ca="1" t="shared" si="22"/>
        <v>OKE</v>
      </c>
      <c r="R121" s="567" t="s">
        <v>1682</v>
      </c>
      <c r="S121" s="58"/>
      <c r="T121" s="606" t="s">
        <v>1683</v>
      </c>
      <c r="U121" s="51" t="s">
        <v>83</v>
      </c>
      <c r="V121" s="394" t="s">
        <v>290</v>
      </c>
      <c r="W121" s="51" t="s">
        <v>112</v>
      </c>
      <c r="X121" s="51" t="s">
        <v>1542</v>
      </c>
      <c r="Y121" s="51">
        <v>2</v>
      </c>
      <c r="Z121" s="58"/>
      <c r="AA121" s="51" t="s">
        <v>1543</v>
      </c>
      <c r="AB121" s="51" t="s">
        <v>1543</v>
      </c>
      <c r="AC121" s="58">
        <v>77381</v>
      </c>
      <c r="AD121" s="51" t="s">
        <v>1544</v>
      </c>
      <c r="AE121" s="58"/>
      <c r="AF121" s="567" t="s">
        <v>1684</v>
      </c>
      <c r="AG121" s="411" t="s">
        <v>1685</v>
      </c>
      <c r="AH121" s="53"/>
      <c r="AI121" s="53"/>
      <c r="AJ121" s="51" t="s">
        <v>765</v>
      </c>
      <c r="AK121" s="379">
        <v>41641</v>
      </c>
      <c r="AL121" s="115" t="str">
        <f ca="1" t="shared" si="27"/>
        <v>11 Tahun 10 Bulan </v>
      </c>
      <c r="AM121" s="51" t="s">
        <v>1549</v>
      </c>
      <c r="AN121" s="51" t="s">
        <v>93</v>
      </c>
      <c r="AO121" s="51" t="s">
        <v>1686</v>
      </c>
      <c r="AP121" s="393" t="s">
        <v>1659</v>
      </c>
      <c r="AQ121" s="51"/>
      <c r="AR121" s="51"/>
      <c r="AS121" s="51" t="s">
        <v>1378</v>
      </c>
      <c r="AT121" s="281"/>
      <c r="AU121" s="52"/>
      <c r="AV121" s="567" t="s">
        <v>1687</v>
      </c>
      <c r="AW121" s="51" t="s">
        <v>100</v>
      </c>
      <c r="AX121" s="51" t="s">
        <v>101</v>
      </c>
      <c r="AY121" s="51" t="s">
        <v>1688</v>
      </c>
      <c r="AZ121" s="281"/>
      <c r="BA121" s="281"/>
      <c r="BB121" s="51" t="s">
        <v>1689</v>
      </c>
      <c r="BC121" s="393" t="s">
        <v>1690</v>
      </c>
      <c r="BD121" s="281"/>
      <c r="BE121" s="51">
        <v>16</v>
      </c>
      <c r="BF121" s="51">
        <v>16</v>
      </c>
      <c r="BG121" s="51" t="s">
        <v>1691</v>
      </c>
      <c r="BH121" s="281" t="s">
        <v>105</v>
      </c>
      <c r="BI121" s="52" t="s">
        <v>88</v>
      </c>
      <c r="BJ121" s="51" t="s">
        <v>1692</v>
      </c>
      <c r="BK121" s="567" t="s">
        <v>1693</v>
      </c>
    </row>
    <row r="122" customFormat="1" ht="31.5" customHeight="1" spans="1:63">
      <c r="A122" s="54">
        <v>117</v>
      </c>
      <c r="B122" s="51">
        <v>5020</v>
      </c>
      <c r="C122" s="51" t="s">
        <v>1536</v>
      </c>
      <c r="D122" s="51" t="s">
        <v>76</v>
      </c>
      <c r="E122" s="51" t="s">
        <v>1537</v>
      </c>
      <c r="F122" s="51"/>
      <c r="G122" s="51" t="s">
        <v>1694</v>
      </c>
      <c r="H122" s="51" t="s">
        <v>1695</v>
      </c>
      <c r="I122" s="113" t="str">
        <f t="shared" si="14"/>
        <v>Kuraisyihab, S,Pd</v>
      </c>
      <c r="J122" s="51" t="s">
        <v>127</v>
      </c>
      <c r="K122" s="102" t="str">
        <f t="shared" si="24"/>
        <v>Laki-laki</v>
      </c>
      <c r="L122" s="51" t="s">
        <v>1696</v>
      </c>
      <c r="M122" s="379">
        <v>33329</v>
      </c>
      <c r="N122" s="115" t="str">
        <f ca="1" t="shared" si="15"/>
        <v>34 Tahun 7 Bulan </v>
      </c>
      <c r="O122" s="380">
        <v>33242</v>
      </c>
      <c r="P122" s="105">
        <f ca="1" t="shared" si="21"/>
        <v>34</v>
      </c>
      <c r="Q122" s="105" t="str">
        <f ca="1" t="shared" si="22"/>
        <v>OKE</v>
      </c>
      <c r="R122" s="567" t="s">
        <v>1697</v>
      </c>
      <c r="S122" s="58"/>
      <c r="T122" s="58"/>
      <c r="U122" s="51" t="s">
        <v>83</v>
      </c>
      <c r="V122" s="394" t="s">
        <v>290</v>
      </c>
      <c r="W122" s="51" t="s">
        <v>112</v>
      </c>
      <c r="X122" s="51" t="s">
        <v>1542</v>
      </c>
      <c r="Y122" s="51">
        <v>2</v>
      </c>
      <c r="Z122" s="58"/>
      <c r="AA122" s="51" t="s">
        <v>1543</v>
      </c>
      <c r="AB122" s="51" t="s">
        <v>1543</v>
      </c>
      <c r="AC122" s="58">
        <v>77381</v>
      </c>
      <c r="AD122" s="51" t="s">
        <v>1544</v>
      </c>
      <c r="AE122" s="58"/>
      <c r="AF122" s="567" t="s">
        <v>1698</v>
      </c>
      <c r="AG122" s="411" t="s">
        <v>1699</v>
      </c>
      <c r="AH122" s="53"/>
      <c r="AI122" s="53"/>
      <c r="AJ122" s="51" t="s">
        <v>1700</v>
      </c>
      <c r="AK122" s="379" t="s">
        <v>1701</v>
      </c>
      <c r="AL122" s="115" t="str">
        <f ca="1" t="shared" si="27"/>
        <v>10 Tahun 3 Bulan </v>
      </c>
      <c r="AM122" s="51" t="s">
        <v>92</v>
      </c>
      <c r="AN122" s="51" t="s">
        <v>93</v>
      </c>
      <c r="AO122" s="51" t="s">
        <v>1702</v>
      </c>
      <c r="AP122" s="393" t="s">
        <v>1659</v>
      </c>
      <c r="AQ122" s="51"/>
      <c r="AR122" s="51"/>
      <c r="AS122" s="51" t="s">
        <v>1378</v>
      </c>
      <c r="AT122" s="281"/>
      <c r="AU122" s="52"/>
      <c r="AV122" s="281"/>
      <c r="AW122" s="51" t="s">
        <v>100</v>
      </c>
      <c r="AX122" s="51" t="s">
        <v>101</v>
      </c>
      <c r="AY122" s="51" t="s">
        <v>1703</v>
      </c>
      <c r="AZ122" s="281"/>
      <c r="BA122" s="281"/>
      <c r="BB122" s="51" t="s">
        <v>1704</v>
      </c>
      <c r="BC122" s="393" t="s">
        <v>1705</v>
      </c>
      <c r="BD122" s="51"/>
      <c r="BE122" s="51">
        <v>16</v>
      </c>
      <c r="BF122" s="51">
        <v>16</v>
      </c>
      <c r="BG122" s="51" t="s">
        <v>1706</v>
      </c>
      <c r="BH122" s="281" t="s">
        <v>105</v>
      </c>
      <c r="BI122" s="52" t="s">
        <v>88</v>
      </c>
      <c r="BJ122" s="51" t="s">
        <v>1707</v>
      </c>
      <c r="BK122" s="567" t="s">
        <v>1708</v>
      </c>
    </row>
    <row r="123" customFormat="1" spans="1:63">
      <c r="A123" s="54">
        <v>118</v>
      </c>
      <c r="B123" s="195">
        <v>5017</v>
      </c>
      <c r="C123" s="195" t="s">
        <v>1536</v>
      </c>
      <c r="D123" s="195" t="s">
        <v>76</v>
      </c>
      <c r="E123" s="195" t="s">
        <v>1537</v>
      </c>
      <c r="F123" s="195"/>
      <c r="G123" s="195" t="s">
        <v>1709</v>
      </c>
      <c r="H123" s="195" t="s">
        <v>177</v>
      </c>
      <c r="I123" s="113" t="str">
        <f t="shared" si="14"/>
        <v>Yohanes Karapa, S.Pd</v>
      </c>
      <c r="J123" s="195" t="s">
        <v>127</v>
      </c>
      <c r="K123" s="102" t="str">
        <f t="shared" si="24"/>
        <v>Laki-laki</v>
      </c>
      <c r="L123" s="195" t="s">
        <v>1710</v>
      </c>
      <c r="M123" s="383">
        <v>27492</v>
      </c>
      <c r="N123" s="115" t="str">
        <f ca="1" t="shared" si="15"/>
        <v>50 Tahun 6 Bulan </v>
      </c>
      <c r="O123" s="336">
        <v>27610</v>
      </c>
      <c r="P123" s="105">
        <f ca="1" t="shared" si="21"/>
        <v>50</v>
      </c>
      <c r="Q123" s="105" t="str">
        <f ca="1" t="shared" si="22"/>
        <v>OKE</v>
      </c>
      <c r="R123" s="570" t="s">
        <v>1711</v>
      </c>
      <c r="S123" s="286"/>
      <c r="T123" s="286"/>
      <c r="U123" s="195" t="s">
        <v>83</v>
      </c>
      <c r="V123" s="394" t="s">
        <v>290</v>
      </c>
      <c r="W123" s="195" t="s">
        <v>1587</v>
      </c>
      <c r="X123" s="195" t="s">
        <v>1542</v>
      </c>
      <c r="Y123" s="195">
        <v>2</v>
      </c>
      <c r="Z123" s="286"/>
      <c r="AA123" s="195" t="s">
        <v>1543</v>
      </c>
      <c r="AB123" s="195" t="s">
        <v>1543</v>
      </c>
      <c r="AC123" s="195">
        <v>77381</v>
      </c>
      <c r="AD123" s="195" t="s">
        <v>1544</v>
      </c>
      <c r="AE123" s="195"/>
      <c r="AF123" s="570" t="s">
        <v>1712</v>
      </c>
      <c r="AG123" s="414" t="s">
        <v>1713</v>
      </c>
      <c r="AH123" s="286"/>
      <c r="AI123" s="286"/>
      <c r="AJ123" s="195" t="s">
        <v>1714</v>
      </c>
      <c r="AK123" s="383">
        <v>41306</v>
      </c>
      <c r="AL123" s="115" t="str">
        <f ca="1" t="shared" si="27"/>
        <v>12 Tahun 9 Bulan </v>
      </c>
      <c r="AM123" s="195" t="s">
        <v>1549</v>
      </c>
      <c r="AN123" s="195" t="s">
        <v>93</v>
      </c>
      <c r="AO123" s="195" t="s">
        <v>1715</v>
      </c>
      <c r="AP123" s="195" t="s">
        <v>838</v>
      </c>
      <c r="AQ123" s="195" t="s">
        <v>1716</v>
      </c>
      <c r="AR123" s="195"/>
      <c r="AS123" s="195" t="s">
        <v>941</v>
      </c>
      <c r="AT123" s="195"/>
      <c r="AU123" s="195"/>
      <c r="AV123" s="570" t="s">
        <v>1717</v>
      </c>
      <c r="AW123" s="195" t="s">
        <v>100</v>
      </c>
      <c r="AX123" s="195" t="s">
        <v>101</v>
      </c>
      <c r="AY123" s="195" t="s">
        <v>1718</v>
      </c>
      <c r="AZ123" s="195"/>
      <c r="BA123" s="195"/>
      <c r="BB123" s="195" t="s">
        <v>1719</v>
      </c>
      <c r="BC123" s="421" t="s">
        <v>1720</v>
      </c>
      <c r="BD123" s="195"/>
      <c r="BE123" s="195">
        <v>20</v>
      </c>
      <c r="BF123" s="195">
        <v>20</v>
      </c>
      <c r="BG123" s="195" t="s">
        <v>1721</v>
      </c>
      <c r="BH123" s="195" t="s">
        <v>105</v>
      </c>
      <c r="BI123" s="195" t="s">
        <v>88</v>
      </c>
      <c r="BJ123" s="195" t="s">
        <v>1722</v>
      </c>
      <c r="BK123" s="567" t="s">
        <v>1723</v>
      </c>
    </row>
    <row r="124" customFormat="1" spans="1:63">
      <c r="A124" s="54">
        <v>119</v>
      </c>
      <c r="B124" s="51">
        <v>5012</v>
      </c>
      <c r="C124" s="51" t="s">
        <v>1536</v>
      </c>
      <c r="D124" s="51" t="s">
        <v>76</v>
      </c>
      <c r="E124" s="51" t="s">
        <v>1537</v>
      </c>
      <c r="F124" s="51"/>
      <c r="G124" s="51" t="s">
        <v>1724</v>
      </c>
      <c r="H124" s="51" t="s">
        <v>177</v>
      </c>
      <c r="I124" s="113" t="str">
        <f t="shared" si="14"/>
        <v>Ika Amelia, S.Pd</v>
      </c>
      <c r="J124" s="51" t="s">
        <v>80</v>
      </c>
      <c r="K124" s="102" t="str">
        <f t="shared" si="24"/>
        <v>Perempuan</v>
      </c>
      <c r="L124" s="51" t="s">
        <v>1725</v>
      </c>
      <c r="M124" s="379" t="s">
        <v>1726</v>
      </c>
      <c r="N124" s="115" t="str">
        <f ca="1" t="shared" si="15"/>
        <v>32 Tahun 8 Bulan </v>
      </c>
      <c r="O124" s="380">
        <v>34014</v>
      </c>
      <c r="P124" s="105">
        <f ca="1" t="shared" si="21"/>
        <v>32</v>
      </c>
      <c r="Q124" s="105" t="str">
        <f ca="1" t="shared" si="22"/>
        <v>OKE</v>
      </c>
      <c r="R124" s="567" t="s">
        <v>1727</v>
      </c>
      <c r="S124" s="58"/>
      <c r="T124" s="58"/>
      <c r="U124" s="51" t="s">
        <v>83</v>
      </c>
      <c r="V124" s="394" t="s">
        <v>290</v>
      </c>
      <c r="W124" s="51" t="s">
        <v>112</v>
      </c>
      <c r="X124" s="51" t="s">
        <v>1542</v>
      </c>
      <c r="Y124" s="51">
        <v>2</v>
      </c>
      <c r="Z124" s="58"/>
      <c r="AA124" s="51" t="s">
        <v>1543</v>
      </c>
      <c r="AB124" s="51" t="s">
        <v>1543</v>
      </c>
      <c r="AC124" s="58">
        <v>77381</v>
      </c>
      <c r="AD124" s="51" t="s">
        <v>1544</v>
      </c>
      <c r="AE124" s="58"/>
      <c r="AF124" s="567" t="s">
        <v>1728</v>
      </c>
      <c r="AG124" s="411" t="s">
        <v>1729</v>
      </c>
      <c r="AH124" s="53"/>
      <c r="AI124" s="53"/>
      <c r="AJ124" s="51" t="s">
        <v>1730</v>
      </c>
      <c r="AK124" s="379" t="s">
        <v>1701</v>
      </c>
      <c r="AL124" s="115" t="str">
        <f ca="1" t="shared" si="27"/>
        <v>10 Tahun 3 Bulan </v>
      </c>
      <c r="AM124" s="51" t="s">
        <v>92</v>
      </c>
      <c r="AN124" s="51" t="s">
        <v>93</v>
      </c>
      <c r="AO124" s="51" t="s">
        <v>1731</v>
      </c>
      <c r="AP124" s="393" t="s">
        <v>1659</v>
      </c>
      <c r="AQ124" s="51"/>
      <c r="AR124" s="51"/>
      <c r="AS124" s="51"/>
      <c r="AT124" s="281"/>
      <c r="AU124" s="52"/>
      <c r="AV124" s="281"/>
      <c r="AW124" s="51" t="s">
        <v>100</v>
      </c>
      <c r="AX124" s="51" t="s">
        <v>101</v>
      </c>
      <c r="AY124" s="393" t="s">
        <v>1732</v>
      </c>
      <c r="AZ124" s="281"/>
      <c r="BA124" s="281"/>
      <c r="BB124" s="51" t="s">
        <v>1733</v>
      </c>
      <c r="BC124" s="393" t="s">
        <v>1734</v>
      </c>
      <c r="BD124" s="281"/>
      <c r="BE124" s="51">
        <v>8</v>
      </c>
      <c r="BF124" s="51">
        <v>8</v>
      </c>
      <c r="BG124" s="51" t="s">
        <v>1735</v>
      </c>
      <c r="BH124" s="281" t="s">
        <v>105</v>
      </c>
      <c r="BI124" s="52" t="s">
        <v>88</v>
      </c>
      <c r="BJ124" s="51" t="s">
        <v>1736</v>
      </c>
      <c r="BK124" s="567" t="s">
        <v>1737</v>
      </c>
    </row>
    <row r="125" s="44" customFormat="1" ht="22.5" customHeight="1" spans="1:63">
      <c r="A125" s="54">
        <v>120</v>
      </c>
      <c r="B125" s="84">
        <v>2697</v>
      </c>
      <c r="C125" s="85" t="s">
        <v>75</v>
      </c>
      <c r="D125" s="85" t="s">
        <v>76</v>
      </c>
      <c r="E125" s="85" t="s">
        <v>1738</v>
      </c>
      <c r="F125" s="48"/>
      <c r="G125" s="86" t="s">
        <v>1739</v>
      </c>
      <c r="H125" s="86" t="s">
        <v>1328</v>
      </c>
      <c r="I125" s="113" t="str">
        <f t="shared" si="14"/>
        <v>Agil Syahrir, S.Pd.I</v>
      </c>
      <c r="J125" s="151" t="s">
        <v>127</v>
      </c>
      <c r="K125" s="102" t="str">
        <f t="shared" si="24"/>
        <v>Laki-laki</v>
      </c>
      <c r="L125" s="151" t="s">
        <v>1740</v>
      </c>
      <c r="M125" s="86" t="s">
        <v>1741</v>
      </c>
      <c r="N125" s="115" t="str">
        <f ca="1" t="shared" si="15"/>
        <v>35 Tahun 8 Bulan </v>
      </c>
      <c r="O125" s="85" t="s">
        <v>1742</v>
      </c>
      <c r="P125" s="105" t="e">
        <f ca="1" t="shared" si="21"/>
        <v>#VALUE!</v>
      </c>
      <c r="Q125" s="105" t="e">
        <f ca="1" t="shared" si="22"/>
        <v>#VALUE!</v>
      </c>
      <c r="R125" s="86" t="s">
        <v>1743</v>
      </c>
      <c r="S125" s="86"/>
      <c r="T125" s="151"/>
      <c r="U125" s="86" t="s">
        <v>83</v>
      </c>
      <c r="V125" s="86" t="s">
        <v>84</v>
      </c>
      <c r="W125" s="86" t="s">
        <v>112</v>
      </c>
      <c r="X125" s="86" t="s">
        <v>1744</v>
      </c>
      <c r="Y125" s="151">
        <v>3</v>
      </c>
      <c r="Z125" s="151">
        <v>0</v>
      </c>
      <c r="AA125" s="86" t="s">
        <v>1744</v>
      </c>
      <c r="AB125" s="86" t="s">
        <v>1744</v>
      </c>
      <c r="AC125" s="86">
        <v>77373</v>
      </c>
      <c r="AD125" s="86" t="s">
        <v>1745</v>
      </c>
      <c r="AE125" s="48"/>
      <c r="AF125" s="86" t="s">
        <v>1746</v>
      </c>
      <c r="AG125" s="86" t="s">
        <v>1747</v>
      </c>
      <c r="AH125" s="86"/>
      <c r="AI125" s="86"/>
      <c r="AJ125" s="86" t="s">
        <v>1748</v>
      </c>
      <c r="AK125" s="86" t="s">
        <v>1749</v>
      </c>
      <c r="AL125" s="115" t="str">
        <f ca="1" t="shared" si="27"/>
        <v>11 Tahun 5 Bulan </v>
      </c>
      <c r="AM125" s="86" t="s">
        <v>92</v>
      </c>
      <c r="AN125" s="86" t="s">
        <v>93</v>
      </c>
      <c r="AO125" s="86" t="s">
        <v>1750</v>
      </c>
      <c r="AP125" s="86" t="s">
        <v>95</v>
      </c>
      <c r="AQ125" s="86" t="s">
        <v>1751</v>
      </c>
      <c r="AR125" s="86"/>
      <c r="AS125" s="86" t="s">
        <v>387</v>
      </c>
      <c r="AT125" s="48"/>
      <c r="AU125" s="86" t="s">
        <v>298</v>
      </c>
      <c r="AV125" s="86"/>
      <c r="AW125" s="85" t="s">
        <v>100</v>
      </c>
      <c r="AX125" s="85" t="s">
        <v>101</v>
      </c>
      <c r="AY125" s="86" t="s">
        <v>606</v>
      </c>
      <c r="AZ125" s="48"/>
      <c r="BA125" s="48"/>
      <c r="BB125" s="85"/>
      <c r="BC125" s="86" t="s">
        <v>1752</v>
      </c>
      <c r="BD125" s="48"/>
      <c r="BE125" s="86">
        <v>18</v>
      </c>
      <c r="BF125" s="86">
        <v>18</v>
      </c>
      <c r="BG125" s="86" t="s">
        <v>606</v>
      </c>
      <c r="BH125" s="48" t="s">
        <v>526</v>
      </c>
      <c r="BI125" s="86" t="s">
        <v>1753</v>
      </c>
      <c r="BJ125" s="86" t="s">
        <v>1739</v>
      </c>
      <c r="BK125" s="607" t="s">
        <v>1754</v>
      </c>
    </row>
    <row r="126" s="44" customFormat="1" ht="22.5" customHeight="1" spans="1:63">
      <c r="A126" s="54">
        <v>121</v>
      </c>
      <c r="B126" s="84">
        <v>2698</v>
      </c>
      <c r="C126" s="85" t="s">
        <v>75</v>
      </c>
      <c r="D126" s="85" t="s">
        <v>76</v>
      </c>
      <c r="E126" s="85" t="s">
        <v>1738</v>
      </c>
      <c r="F126" s="48"/>
      <c r="G126" s="86" t="s">
        <v>1755</v>
      </c>
      <c r="H126" s="86" t="s">
        <v>1756</v>
      </c>
      <c r="I126" s="113" t="str">
        <f t="shared" si="14"/>
        <v>Agus Muhammad Aris, S.Pd  </v>
      </c>
      <c r="J126" s="151" t="s">
        <v>127</v>
      </c>
      <c r="K126" s="102" t="str">
        <f t="shared" si="24"/>
        <v>Laki-laki</v>
      </c>
      <c r="L126" s="151" t="s">
        <v>1757</v>
      </c>
      <c r="M126" s="86" t="s">
        <v>1758</v>
      </c>
      <c r="N126" s="115" t="str">
        <f ca="1" t="shared" si="15"/>
        <v>40 Tahun 5 Bulan </v>
      </c>
      <c r="O126" s="85" t="s">
        <v>1759</v>
      </c>
      <c r="P126" s="105" t="e">
        <f ca="1" t="shared" si="21"/>
        <v>#VALUE!</v>
      </c>
      <c r="Q126" s="105" t="e">
        <f ca="1" t="shared" si="22"/>
        <v>#VALUE!</v>
      </c>
      <c r="R126" s="86" t="s">
        <v>1760</v>
      </c>
      <c r="S126" s="86"/>
      <c r="T126" s="151" t="s">
        <v>1761</v>
      </c>
      <c r="U126" s="86" t="s">
        <v>83</v>
      </c>
      <c r="V126" s="86" t="s">
        <v>84</v>
      </c>
      <c r="W126" s="86" t="s">
        <v>112</v>
      </c>
      <c r="X126" s="86" t="s">
        <v>1762</v>
      </c>
      <c r="Y126" s="151">
        <v>2</v>
      </c>
      <c r="Z126" s="151">
        <v>0</v>
      </c>
      <c r="AA126" s="86"/>
      <c r="AB126" s="86" t="s">
        <v>1757</v>
      </c>
      <c r="AC126" s="86">
        <v>77375</v>
      </c>
      <c r="AD126" s="86" t="s">
        <v>1763</v>
      </c>
      <c r="AE126" s="48"/>
      <c r="AF126" s="86" t="s">
        <v>1764</v>
      </c>
      <c r="AG126" s="86" t="s">
        <v>1765</v>
      </c>
      <c r="AH126" s="86"/>
      <c r="AI126" s="86"/>
      <c r="AJ126" s="86" t="s">
        <v>1766</v>
      </c>
      <c r="AK126" s="86" t="s">
        <v>1767</v>
      </c>
      <c r="AL126" s="115" t="str">
        <f ca="1" t="shared" si="27"/>
        <v>12 Tahun 10 Bulan </v>
      </c>
      <c r="AM126" s="86" t="s">
        <v>309</v>
      </c>
      <c r="AN126" s="86" t="s">
        <v>93</v>
      </c>
      <c r="AO126" s="86" t="s">
        <v>1768</v>
      </c>
      <c r="AP126" s="86" t="s">
        <v>95</v>
      </c>
      <c r="AQ126" s="86" t="s">
        <v>1769</v>
      </c>
      <c r="AR126" s="86"/>
      <c r="AS126" s="86" t="s">
        <v>387</v>
      </c>
      <c r="AT126" s="48"/>
      <c r="AU126" s="86" t="s">
        <v>298</v>
      </c>
      <c r="AV126" s="608" t="s">
        <v>1770</v>
      </c>
      <c r="AW126" s="85" t="s">
        <v>100</v>
      </c>
      <c r="AX126" s="85" t="s">
        <v>101</v>
      </c>
      <c r="AY126" s="86" t="s">
        <v>550</v>
      </c>
      <c r="AZ126" s="48"/>
      <c r="BA126" s="48"/>
      <c r="BB126" s="85"/>
      <c r="BC126" s="86" t="s">
        <v>1771</v>
      </c>
      <c r="BD126" s="48"/>
      <c r="BE126" s="86">
        <v>21</v>
      </c>
      <c r="BF126" s="86">
        <v>21</v>
      </c>
      <c r="BG126" s="86" t="s">
        <v>330</v>
      </c>
      <c r="BH126" s="48" t="s">
        <v>526</v>
      </c>
      <c r="BI126" s="86" t="s">
        <v>1772</v>
      </c>
      <c r="BJ126" s="86" t="s">
        <v>1755</v>
      </c>
      <c r="BK126" s="609" t="s">
        <v>1773</v>
      </c>
    </row>
    <row r="127" s="44" customFormat="1" ht="22.5" customHeight="1" spans="1:63">
      <c r="A127" s="54">
        <v>122</v>
      </c>
      <c r="B127" s="84">
        <v>2699</v>
      </c>
      <c r="C127" s="85" t="s">
        <v>75</v>
      </c>
      <c r="D127" s="85" t="s">
        <v>76</v>
      </c>
      <c r="E127" s="85" t="s">
        <v>1738</v>
      </c>
      <c r="F127" s="48"/>
      <c r="G127" s="86" t="s">
        <v>1774</v>
      </c>
      <c r="H127" s="86" t="s">
        <v>177</v>
      </c>
      <c r="I127" s="113" t="str">
        <f t="shared" si="14"/>
        <v>Ibrahim, S.Pd</v>
      </c>
      <c r="J127" s="151" t="s">
        <v>127</v>
      </c>
      <c r="K127" s="102" t="str">
        <f t="shared" si="24"/>
        <v>Laki-laki</v>
      </c>
      <c r="L127" s="151" t="s">
        <v>1775</v>
      </c>
      <c r="M127" s="86" t="s">
        <v>1776</v>
      </c>
      <c r="N127" s="115" t="str">
        <f ca="1" t="shared" si="15"/>
        <v>38 Tahun 11 Bulan </v>
      </c>
      <c r="O127" s="86" t="s">
        <v>1776</v>
      </c>
      <c r="P127" s="105">
        <f ca="1" t="shared" si="21"/>
        <v>38</v>
      </c>
      <c r="Q127" s="105" t="str">
        <f ca="1" t="shared" si="22"/>
        <v>OKE</v>
      </c>
      <c r="R127" s="86" t="s">
        <v>1777</v>
      </c>
      <c r="S127" s="86"/>
      <c r="T127" s="151" t="s">
        <v>1778</v>
      </c>
      <c r="U127" s="86" t="s">
        <v>83</v>
      </c>
      <c r="V127" s="86" t="s">
        <v>84</v>
      </c>
      <c r="W127" s="86" t="s">
        <v>112</v>
      </c>
      <c r="X127" s="86" t="s">
        <v>1779</v>
      </c>
      <c r="Y127" s="151">
        <v>6</v>
      </c>
      <c r="Z127" s="151">
        <v>0</v>
      </c>
      <c r="AA127" s="86"/>
      <c r="AB127" s="86" t="s">
        <v>1780</v>
      </c>
      <c r="AC127" s="86">
        <v>77375</v>
      </c>
      <c r="AD127" s="86" t="s">
        <v>1763</v>
      </c>
      <c r="AE127" s="48"/>
      <c r="AF127" s="86" t="s">
        <v>1781</v>
      </c>
      <c r="AG127" s="86" t="s">
        <v>1782</v>
      </c>
      <c r="AH127" s="86"/>
      <c r="AI127" s="86"/>
      <c r="AJ127" s="86" t="s">
        <v>1783</v>
      </c>
      <c r="AK127" s="86" t="s">
        <v>1784</v>
      </c>
      <c r="AL127" s="115" t="str">
        <f ca="1" t="shared" si="27"/>
        <v>14 Tahun 4 Bulan </v>
      </c>
      <c r="AM127" s="86" t="s">
        <v>309</v>
      </c>
      <c r="AN127" s="86" t="s">
        <v>93</v>
      </c>
      <c r="AO127" s="86" t="s">
        <v>1785</v>
      </c>
      <c r="AP127" s="86" t="s">
        <v>95</v>
      </c>
      <c r="AQ127" s="86" t="s">
        <v>186</v>
      </c>
      <c r="AR127" s="86"/>
      <c r="AS127" s="86" t="s">
        <v>387</v>
      </c>
      <c r="AT127" s="48"/>
      <c r="AU127" s="86" t="s">
        <v>298</v>
      </c>
      <c r="AV127" s="608" t="s">
        <v>1786</v>
      </c>
      <c r="AW127" s="85" t="s">
        <v>100</v>
      </c>
      <c r="AX127" s="85" t="s">
        <v>101</v>
      </c>
      <c r="AY127" s="86" t="s">
        <v>974</v>
      </c>
      <c r="AZ127" s="48"/>
      <c r="BA127" s="48"/>
      <c r="BB127" s="86" t="s">
        <v>1787</v>
      </c>
      <c r="BC127" s="86" t="s">
        <v>1788</v>
      </c>
      <c r="BD127" s="86">
        <v>12</v>
      </c>
      <c r="BE127" s="86">
        <v>20</v>
      </c>
      <c r="BF127" s="86">
        <v>32</v>
      </c>
      <c r="BG127" s="86" t="s">
        <v>358</v>
      </c>
      <c r="BH127" s="48" t="s">
        <v>526</v>
      </c>
      <c r="BI127" s="86" t="s">
        <v>1772</v>
      </c>
      <c r="BJ127" s="86" t="s">
        <v>1774</v>
      </c>
      <c r="BK127" s="610" t="s">
        <v>1789</v>
      </c>
    </row>
    <row r="128" s="44" customFormat="1" ht="22.5" customHeight="1" spans="1:63">
      <c r="A128" s="54">
        <v>123</v>
      </c>
      <c r="B128" s="84">
        <v>2700</v>
      </c>
      <c r="C128" s="85" t="s">
        <v>75</v>
      </c>
      <c r="D128" s="85" t="s">
        <v>76</v>
      </c>
      <c r="E128" s="85" t="s">
        <v>1738</v>
      </c>
      <c r="F128" s="48"/>
      <c r="G128" s="86" t="s">
        <v>1790</v>
      </c>
      <c r="H128" s="86" t="s">
        <v>177</v>
      </c>
      <c r="I128" s="113" t="str">
        <f t="shared" si="14"/>
        <v>Ilhamdan, S.Pd</v>
      </c>
      <c r="J128" s="151" t="s">
        <v>127</v>
      </c>
      <c r="K128" s="102" t="str">
        <f t="shared" si="24"/>
        <v>Laki-laki</v>
      </c>
      <c r="L128" s="151" t="s">
        <v>1791</v>
      </c>
      <c r="M128" s="86" t="s">
        <v>1792</v>
      </c>
      <c r="N128" s="115" t="str">
        <f ca="1" t="shared" si="15"/>
        <v>39 Tahun 5 Bulan </v>
      </c>
      <c r="O128" s="85" t="s">
        <v>1793</v>
      </c>
      <c r="P128" s="105" t="e">
        <f ca="1" t="shared" si="21"/>
        <v>#VALUE!</v>
      </c>
      <c r="Q128" s="105" t="e">
        <f ca="1" t="shared" si="22"/>
        <v>#VALUE!</v>
      </c>
      <c r="R128" s="86" t="s">
        <v>1794</v>
      </c>
      <c r="S128" s="86"/>
      <c r="T128" s="151"/>
      <c r="U128" s="86" t="s">
        <v>83</v>
      </c>
      <c r="V128" s="86" t="s">
        <v>84</v>
      </c>
      <c r="W128" s="86" t="s">
        <v>112</v>
      </c>
      <c r="X128" s="86" t="s">
        <v>1791</v>
      </c>
      <c r="Y128" s="151">
        <v>3</v>
      </c>
      <c r="Z128" s="151">
        <v>0</v>
      </c>
      <c r="AA128" s="86"/>
      <c r="AB128" s="86" t="s">
        <v>1795</v>
      </c>
      <c r="AC128" s="86">
        <v>77373</v>
      </c>
      <c r="AD128" s="86" t="s">
        <v>1745</v>
      </c>
      <c r="AE128" s="48"/>
      <c r="AF128" s="86" t="s">
        <v>1796</v>
      </c>
      <c r="AG128" s="86" t="s">
        <v>1797</v>
      </c>
      <c r="AH128" s="86"/>
      <c r="AI128" s="86"/>
      <c r="AJ128" s="86" t="s">
        <v>1798</v>
      </c>
      <c r="AK128" s="86" t="s">
        <v>1784</v>
      </c>
      <c r="AL128" s="115" t="str">
        <f ca="1" t="shared" si="27"/>
        <v>14 Tahun 4 Bulan </v>
      </c>
      <c r="AM128" s="86" t="s">
        <v>309</v>
      </c>
      <c r="AN128" s="86" t="s">
        <v>93</v>
      </c>
      <c r="AO128" s="86" t="s">
        <v>1799</v>
      </c>
      <c r="AP128" s="86" t="s">
        <v>297</v>
      </c>
      <c r="AQ128" s="86"/>
      <c r="AR128" s="86"/>
      <c r="AS128" s="86" t="s">
        <v>232</v>
      </c>
      <c r="AT128" s="48"/>
      <c r="AU128" s="86" t="s">
        <v>298</v>
      </c>
      <c r="AV128" s="86"/>
      <c r="AW128" s="85" t="s">
        <v>100</v>
      </c>
      <c r="AX128" s="85" t="s">
        <v>101</v>
      </c>
      <c r="AY128" s="86" t="s">
        <v>917</v>
      </c>
      <c r="AZ128" s="48"/>
      <c r="BA128" s="48"/>
      <c r="BB128" s="86" t="s">
        <v>235</v>
      </c>
      <c r="BC128" s="86" t="s">
        <v>1800</v>
      </c>
      <c r="BD128" s="86"/>
      <c r="BE128" s="86">
        <v>25</v>
      </c>
      <c r="BF128" s="86">
        <v>25</v>
      </c>
      <c r="BG128" s="86" t="s">
        <v>563</v>
      </c>
      <c r="BH128" s="48" t="s">
        <v>526</v>
      </c>
      <c r="BI128" s="86" t="s">
        <v>1772</v>
      </c>
      <c r="BJ128" s="86" t="s">
        <v>1790</v>
      </c>
      <c r="BK128" s="610" t="s">
        <v>1801</v>
      </c>
    </row>
    <row r="129" s="44" customFormat="1" ht="22.5" customHeight="1" spans="1:63">
      <c r="A129" s="54">
        <v>124</v>
      </c>
      <c r="B129" s="84">
        <v>2701</v>
      </c>
      <c r="C129" s="85" t="s">
        <v>75</v>
      </c>
      <c r="D129" s="85" t="s">
        <v>76</v>
      </c>
      <c r="E129" s="85" t="s">
        <v>1738</v>
      </c>
      <c r="F129" s="48"/>
      <c r="G129" s="86" t="s">
        <v>1802</v>
      </c>
      <c r="H129" s="86" t="s">
        <v>177</v>
      </c>
      <c r="I129" s="113" t="str">
        <f t="shared" si="14"/>
        <v>Imran, S.Pd</v>
      </c>
      <c r="J129" s="151" t="s">
        <v>127</v>
      </c>
      <c r="K129" s="102" t="str">
        <f t="shared" si="24"/>
        <v>Laki-laki</v>
      </c>
      <c r="L129" s="151" t="s">
        <v>1803</v>
      </c>
      <c r="M129" s="86" t="s">
        <v>1804</v>
      </c>
      <c r="N129" s="115" t="str">
        <f ca="1" t="shared" si="15"/>
        <v>48 Tahun 2 Bulan </v>
      </c>
      <c r="O129" s="85" t="s">
        <v>1805</v>
      </c>
      <c r="P129" s="105" t="e">
        <f ca="1" t="shared" si="21"/>
        <v>#VALUE!</v>
      </c>
      <c r="Q129" s="105" t="e">
        <f ca="1" t="shared" si="22"/>
        <v>#VALUE!</v>
      </c>
      <c r="R129" s="86" t="s">
        <v>1806</v>
      </c>
      <c r="S129" s="86"/>
      <c r="T129" s="151"/>
      <c r="U129" s="86" t="s">
        <v>83</v>
      </c>
      <c r="V129" s="86" t="s">
        <v>84</v>
      </c>
      <c r="W129" s="86" t="s">
        <v>112</v>
      </c>
      <c r="X129" s="86" t="s">
        <v>1807</v>
      </c>
      <c r="Y129" s="151">
        <v>2</v>
      </c>
      <c r="Z129" s="151">
        <v>0</v>
      </c>
      <c r="AA129" s="86"/>
      <c r="AB129" s="86" t="s">
        <v>1780</v>
      </c>
      <c r="AC129" s="86">
        <v>77375</v>
      </c>
      <c r="AD129" s="86" t="s">
        <v>1763</v>
      </c>
      <c r="AE129" s="48"/>
      <c r="AF129" s="86" t="s">
        <v>1808</v>
      </c>
      <c r="AG129" s="86" t="s">
        <v>1809</v>
      </c>
      <c r="AH129" s="86"/>
      <c r="AI129" s="86"/>
      <c r="AJ129" s="86" t="s">
        <v>1810</v>
      </c>
      <c r="AK129" s="86" t="s">
        <v>1811</v>
      </c>
      <c r="AL129" s="115" t="str">
        <f ca="1" t="shared" si="27"/>
        <v>10 Tahun 4 Bulan </v>
      </c>
      <c r="AM129" s="86" t="s">
        <v>92</v>
      </c>
      <c r="AN129" s="86" t="s">
        <v>93</v>
      </c>
      <c r="AO129" s="86" t="s">
        <v>1812</v>
      </c>
      <c r="AP129" s="86" t="s">
        <v>95</v>
      </c>
      <c r="AQ129" s="86" t="s">
        <v>1813</v>
      </c>
      <c r="AR129" s="86"/>
      <c r="AS129" s="86" t="s">
        <v>232</v>
      </c>
      <c r="AT129" s="48"/>
      <c r="AU129" s="86" t="s">
        <v>298</v>
      </c>
      <c r="AV129" s="86"/>
      <c r="AW129" s="85" t="s">
        <v>100</v>
      </c>
      <c r="AX129" s="85" t="s">
        <v>101</v>
      </c>
      <c r="AY129" s="86" t="s">
        <v>1814</v>
      </c>
      <c r="AZ129" s="48"/>
      <c r="BA129" s="48"/>
      <c r="BB129" s="86" t="s">
        <v>1815</v>
      </c>
      <c r="BC129" s="86" t="s">
        <v>1816</v>
      </c>
      <c r="BD129" s="86">
        <v>12</v>
      </c>
      <c r="BE129" s="86">
        <v>18</v>
      </c>
      <c r="BF129" s="86">
        <v>30</v>
      </c>
      <c r="BG129" s="86" t="s">
        <v>141</v>
      </c>
      <c r="BH129" s="48" t="s">
        <v>526</v>
      </c>
      <c r="BI129" s="86" t="s">
        <v>1772</v>
      </c>
      <c r="BJ129" s="86" t="s">
        <v>1802</v>
      </c>
      <c r="BK129" s="609" t="s">
        <v>1817</v>
      </c>
    </row>
    <row r="130" s="44" customFormat="1" ht="22.5" customHeight="1" spans="1:63">
      <c r="A130" s="54">
        <v>125</v>
      </c>
      <c r="B130" s="84">
        <v>2702</v>
      </c>
      <c r="C130" s="85" t="s">
        <v>75</v>
      </c>
      <c r="D130" s="85" t="s">
        <v>76</v>
      </c>
      <c r="E130" s="85" t="s">
        <v>1738</v>
      </c>
      <c r="F130" s="48"/>
      <c r="G130" s="86" t="s">
        <v>1818</v>
      </c>
      <c r="H130" s="86" t="s">
        <v>177</v>
      </c>
      <c r="I130" s="113" t="str">
        <f t="shared" si="14"/>
        <v>Lutwiyani, S.Pd</v>
      </c>
      <c r="J130" s="151" t="s">
        <v>80</v>
      </c>
      <c r="K130" s="102" t="str">
        <f t="shared" si="24"/>
        <v>Perempuan</v>
      </c>
      <c r="L130" s="151" t="s">
        <v>460</v>
      </c>
      <c r="M130" s="86" t="s">
        <v>1819</v>
      </c>
      <c r="N130" s="115" t="str">
        <f ca="1" t="shared" si="15"/>
        <v>36 Tahun 4 Bulan </v>
      </c>
      <c r="O130" s="85" t="s">
        <v>1820</v>
      </c>
      <c r="P130" s="105" t="e">
        <f ca="1" t="shared" si="21"/>
        <v>#VALUE!</v>
      </c>
      <c r="Q130" s="105" t="e">
        <f ca="1" t="shared" si="22"/>
        <v>#VALUE!</v>
      </c>
      <c r="R130" s="86" t="s">
        <v>1821</v>
      </c>
      <c r="S130" s="86"/>
      <c r="T130" s="151"/>
      <c r="U130" s="86" t="s">
        <v>83</v>
      </c>
      <c r="V130" s="86" t="s">
        <v>84</v>
      </c>
      <c r="W130" s="86" t="s">
        <v>112</v>
      </c>
      <c r="X130" s="86" t="s">
        <v>1822</v>
      </c>
      <c r="Y130" s="151">
        <v>7</v>
      </c>
      <c r="Z130" s="151">
        <v>0</v>
      </c>
      <c r="AA130" s="86"/>
      <c r="AB130" s="86" t="s">
        <v>1822</v>
      </c>
      <c r="AC130" s="86">
        <v>77371</v>
      </c>
      <c r="AD130" s="86" t="s">
        <v>399</v>
      </c>
      <c r="AE130" s="48"/>
      <c r="AF130" s="86" t="s">
        <v>1823</v>
      </c>
      <c r="AG130" s="86" t="s">
        <v>1824</v>
      </c>
      <c r="AH130" s="86"/>
      <c r="AI130" s="86"/>
      <c r="AJ130" s="86" t="s">
        <v>1825</v>
      </c>
      <c r="AK130" s="86" t="s">
        <v>1826</v>
      </c>
      <c r="AL130" s="115" t="str">
        <f ca="1" t="shared" si="27"/>
        <v>11 Tahun 10 Bulan </v>
      </c>
      <c r="AM130" s="86" t="s">
        <v>309</v>
      </c>
      <c r="AN130" s="86" t="s">
        <v>93</v>
      </c>
      <c r="AO130" s="86" t="s">
        <v>1827</v>
      </c>
      <c r="AP130" s="86" t="s">
        <v>297</v>
      </c>
      <c r="AQ130" s="86"/>
      <c r="AR130" s="86"/>
      <c r="AS130" s="86" t="s">
        <v>232</v>
      </c>
      <c r="AT130" s="48"/>
      <c r="AU130" s="86" t="s">
        <v>298</v>
      </c>
      <c r="AV130" s="86"/>
      <c r="AW130" s="85" t="s">
        <v>100</v>
      </c>
      <c r="AX130" s="85" t="s">
        <v>101</v>
      </c>
      <c r="AY130" s="86" t="s">
        <v>1828</v>
      </c>
      <c r="AZ130" s="48"/>
      <c r="BA130" s="48"/>
      <c r="BB130" s="86" t="s">
        <v>1829</v>
      </c>
      <c r="BC130" s="86" t="s">
        <v>1830</v>
      </c>
      <c r="BD130" s="86">
        <v>12</v>
      </c>
      <c r="BE130" s="86">
        <v>15</v>
      </c>
      <c r="BF130" s="86">
        <v>27</v>
      </c>
      <c r="BG130" s="86" t="s">
        <v>374</v>
      </c>
      <c r="BH130" s="48" t="s">
        <v>526</v>
      </c>
      <c r="BI130" s="86" t="s">
        <v>1831</v>
      </c>
      <c r="BJ130" s="86" t="s">
        <v>1818</v>
      </c>
      <c r="BK130" s="610" t="s">
        <v>1832</v>
      </c>
    </row>
    <row r="131" s="44" customFormat="1" ht="22.5" customHeight="1" spans="1:63">
      <c r="A131" s="54">
        <v>126</v>
      </c>
      <c r="B131" s="84">
        <v>2703</v>
      </c>
      <c r="C131" s="85" t="s">
        <v>75</v>
      </c>
      <c r="D131" s="85" t="s">
        <v>76</v>
      </c>
      <c r="E131" s="85" t="s">
        <v>1738</v>
      </c>
      <c r="F131" s="48"/>
      <c r="G131" s="86" t="s">
        <v>1833</v>
      </c>
      <c r="H131" s="86" t="s">
        <v>177</v>
      </c>
      <c r="I131" s="113" t="str">
        <f t="shared" si="14"/>
        <v>Nyai Sopiah Susanti, S.Pd</v>
      </c>
      <c r="J131" s="151" t="s">
        <v>80</v>
      </c>
      <c r="K131" s="102" t="str">
        <f t="shared" si="24"/>
        <v>Perempuan</v>
      </c>
      <c r="L131" s="151" t="s">
        <v>131</v>
      </c>
      <c r="M131" s="86" t="s">
        <v>1834</v>
      </c>
      <c r="N131" s="115" t="str">
        <f ca="1" t="shared" si="15"/>
        <v>37 Tahun 10 Bulan </v>
      </c>
      <c r="O131" s="85" t="s">
        <v>1835</v>
      </c>
      <c r="P131" s="105" t="e">
        <f ca="1" t="shared" si="21"/>
        <v>#VALUE!</v>
      </c>
      <c r="Q131" s="105" t="e">
        <f ca="1" t="shared" si="22"/>
        <v>#VALUE!</v>
      </c>
      <c r="R131" s="86" t="s">
        <v>1836</v>
      </c>
      <c r="S131" s="86"/>
      <c r="T131" s="151"/>
      <c r="U131" s="86" t="s">
        <v>83</v>
      </c>
      <c r="V131" s="86" t="s">
        <v>84</v>
      </c>
      <c r="W131" s="86" t="s">
        <v>112</v>
      </c>
      <c r="X131" s="86" t="s">
        <v>131</v>
      </c>
      <c r="Y131" s="151">
        <v>16</v>
      </c>
      <c r="Z131" s="151">
        <v>2</v>
      </c>
      <c r="AA131" s="86"/>
      <c r="AB131" s="86" t="s">
        <v>131</v>
      </c>
      <c r="AC131" s="86">
        <v>77315</v>
      </c>
      <c r="AD131" s="86" t="s">
        <v>321</v>
      </c>
      <c r="AE131" s="48"/>
      <c r="AF131" s="86" t="s">
        <v>1837</v>
      </c>
      <c r="AG131" s="86" t="s">
        <v>1838</v>
      </c>
      <c r="AH131" s="86"/>
      <c r="AI131" s="86"/>
      <c r="AJ131" s="86" t="s">
        <v>1839</v>
      </c>
      <c r="AK131" s="86" t="s">
        <v>1826</v>
      </c>
      <c r="AL131" s="115" t="str">
        <f ca="1" t="shared" si="27"/>
        <v>11 Tahun 10 Bulan </v>
      </c>
      <c r="AM131" s="86" t="s">
        <v>309</v>
      </c>
      <c r="AN131" s="86" t="s">
        <v>93</v>
      </c>
      <c r="AO131" s="86" t="s">
        <v>1840</v>
      </c>
      <c r="AP131" s="86" t="s">
        <v>95</v>
      </c>
      <c r="AQ131" s="86" t="s">
        <v>1841</v>
      </c>
      <c r="AR131" s="86"/>
      <c r="AS131" s="86" t="s">
        <v>188</v>
      </c>
      <c r="AT131" s="48"/>
      <c r="AU131" s="86" t="s">
        <v>298</v>
      </c>
      <c r="AV131" s="86"/>
      <c r="AW131" s="85" t="s">
        <v>100</v>
      </c>
      <c r="AX131" s="85" t="s">
        <v>101</v>
      </c>
      <c r="AY131" s="86" t="s">
        <v>1007</v>
      </c>
      <c r="AZ131" s="85"/>
      <c r="BA131" s="48"/>
      <c r="BB131" s="85"/>
      <c r="BC131" s="86" t="s">
        <v>1842</v>
      </c>
      <c r="BD131" s="86"/>
      <c r="BE131" s="86">
        <v>19</v>
      </c>
      <c r="BF131" s="86">
        <v>19</v>
      </c>
      <c r="BG131" s="86" t="s">
        <v>686</v>
      </c>
      <c r="BH131" s="48" t="s">
        <v>526</v>
      </c>
      <c r="BI131" s="86" t="s">
        <v>1772</v>
      </c>
      <c r="BJ131" s="86" t="s">
        <v>1833</v>
      </c>
      <c r="BK131" s="609" t="s">
        <v>1843</v>
      </c>
    </row>
    <row r="132" s="44" customFormat="1" ht="22.5" customHeight="1" spans="1:63">
      <c r="A132" s="54">
        <v>127</v>
      </c>
      <c r="B132" s="84">
        <v>2704</v>
      </c>
      <c r="C132" s="85" t="s">
        <v>75</v>
      </c>
      <c r="D132" s="85" t="s">
        <v>76</v>
      </c>
      <c r="E132" s="85" t="s">
        <v>1738</v>
      </c>
      <c r="F132" s="48"/>
      <c r="G132" s="86" t="s">
        <v>1844</v>
      </c>
      <c r="H132" s="86" t="s">
        <v>177</v>
      </c>
      <c r="I132" s="113" t="str">
        <f t="shared" si="14"/>
        <v>Selviani, S.Pd</v>
      </c>
      <c r="J132" s="151" t="s">
        <v>80</v>
      </c>
      <c r="K132" s="102" t="str">
        <f t="shared" si="24"/>
        <v>Perempuan</v>
      </c>
      <c r="L132" s="151" t="s">
        <v>1775</v>
      </c>
      <c r="M132" s="86" t="s">
        <v>1845</v>
      </c>
      <c r="N132" s="115" t="str">
        <f ca="1" t="shared" si="15"/>
        <v>34 Tahun 1 Bulan </v>
      </c>
      <c r="O132" s="611" t="s">
        <v>1846</v>
      </c>
      <c r="P132" s="105">
        <f ca="1" t="shared" si="21"/>
        <v>34</v>
      </c>
      <c r="Q132" s="105" t="str">
        <f ca="1" t="shared" si="22"/>
        <v>OKE</v>
      </c>
      <c r="R132" s="86" t="s">
        <v>1847</v>
      </c>
      <c r="S132" s="86"/>
      <c r="T132" s="151"/>
      <c r="U132" s="86" t="s">
        <v>83</v>
      </c>
      <c r="V132" s="86" t="s">
        <v>84</v>
      </c>
      <c r="W132" s="86" t="s">
        <v>112</v>
      </c>
      <c r="X132" s="86" t="s">
        <v>1791</v>
      </c>
      <c r="Y132" s="151">
        <v>2</v>
      </c>
      <c r="Z132" s="151">
        <v>0</v>
      </c>
      <c r="AA132" s="86"/>
      <c r="AB132" s="86" t="s">
        <v>1791</v>
      </c>
      <c r="AC132" s="86">
        <v>77373</v>
      </c>
      <c r="AD132" s="86" t="s">
        <v>1745</v>
      </c>
      <c r="AE132" s="48"/>
      <c r="AF132" s="86" t="s">
        <v>1848</v>
      </c>
      <c r="AG132" s="86" t="s">
        <v>1849</v>
      </c>
      <c r="AH132" s="86"/>
      <c r="AI132" s="86"/>
      <c r="AJ132" s="86" t="s">
        <v>1850</v>
      </c>
      <c r="AK132" s="86" t="s">
        <v>1851</v>
      </c>
      <c r="AL132" s="115" t="str">
        <f ca="1" t="shared" si="27"/>
        <v>11 Tahun 2 Bulan </v>
      </c>
      <c r="AM132" s="86" t="s">
        <v>92</v>
      </c>
      <c r="AN132" s="86" t="s">
        <v>93</v>
      </c>
      <c r="AO132" s="86" t="s">
        <v>1852</v>
      </c>
      <c r="AP132" s="86" t="s">
        <v>95</v>
      </c>
      <c r="AQ132" s="86" t="s">
        <v>1853</v>
      </c>
      <c r="AR132" s="86"/>
      <c r="AS132" s="86" t="s">
        <v>387</v>
      </c>
      <c r="AT132" s="48"/>
      <c r="AU132" s="86" t="s">
        <v>298</v>
      </c>
      <c r="AV132" s="86"/>
      <c r="AW132" s="85" t="s">
        <v>100</v>
      </c>
      <c r="AX132" s="85" t="s">
        <v>101</v>
      </c>
      <c r="AY132" s="86" t="s">
        <v>589</v>
      </c>
      <c r="AZ132" s="48"/>
      <c r="BA132" s="48"/>
      <c r="BB132" s="85"/>
      <c r="BC132" s="86" t="s">
        <v>1854</v>
      </c>
      <c r="BD132" s="48"/>
      <c r="BE132" s="86">
        <v>24</v>
      </c>
      <c r="BF132" s="86">
        <v>24</v>
      </c>
      <c r="BG132" s="86" t="s">
        <v>1435</v>
      </c>
      <c r="BH132" s="48" t="s">
        <v>526</v>
      </c>
      <c r="BI132" s="86" t="s">
        <v>1772</v>
      </c>
      <c r="BJ132" s="86" t="s">
        <v>1844</v>
      </c>
      <c r="BK132" s="609" t="s">
        <v>1855</v>
      </c>
    </row>
    <row r="133" s="44" customFormat="1" ht="22.5" customHeight="1" spans="1:63">
      <c r="A133" s="54">
        <v>128</v>
      </c>
      <c r="B133" s="84">
        <v>2705</v>
      </c>
      <c r="C133" s="85" t="s">
        <v>75</v>
      </c>
      <c r="D133" s="85" t="s">
        <v>76</v>
      </c>
      <c r="E133" s="85" t="s">
        <v>1738</v>
      </c>
      <c r="F133" s="48"/>
      <c r="G133" s="86" t="s">
        <v>1856</v>
      </c>
      <c r="H133" s="86" t="s">
        <v>177</v>
      </c>
      <c r="I133" s="113" t="str">
        <f t="shared" si="14"/>
        <v>Siti Nur Minayah Anggeraeni, S.Pd</v>
      </c>
      <c r="J133" s="151" t="s">
        <v>80</v>
      </c>
      <c r="K133" s="102" t="str">
        <f t="shared" si="24"/>
        <v>Perempuan</v>
      </c>
      <c r="L133" s="151" t="s">
        <v>1151</v>
      </c>
      <c r="M133" s="86" t="s">
        <v>1857</v>
      </c>
      <c r="N133" s="115" t="str">
        <f ca="1" t="shared" si="15"/>
        <v>33 Tahun 10 Bulan </v>
      </c>
      <c r="O133" s="85" t="s">
        <v>1858</v>
      </c>
      <c r="P133" s="105" t="e">
        <f ca="1" t="shared" si="21"/>
        <v>#VALUE!</v>
      </c>
      <c r="Q133" s="105" t="e">
        <f ca="1" t="shared" si="22"/>
        <v>#VALUE!</v>
      </c>
      <c r="R133" s="86" t="s">
        <v>1859</v>
      </c>
      <c r="S133" s="86"/>
      <c r="T133" s="151"/>
      <c r="U133" s="86" t="s">
        <v>83</v>
      </c>
      <c r="V133" s="86" t="s">
        <v>84</v>
      </c>
      <c r="W133" s="86" t="s">
        <v>112</v>
      </c>
      <c r="X133" s="86" t="s">
        <v>1860</v>
      </c>
      <c r="Y133" s="151">
        <v>4</v>
      </c>
      <c r="Z133" s="151">
        <v>0</v>
      </c>
      <c r="AA133" s="86"/>
      <c r="AB133" s="86" t="s">
        <v>88</v>
      </c>
      <c r="AC133" s="86">
        <v>77311</v>
      </c>
      <c r="AD133" s="86" t="s">
        <v>292</v>
      </c>
      <c r="AE133" s="48"/>
      <c r="AF133" s="86" t="s">
        <v>1861</v>
      </c>
      <c r="AG133" s="86" t="s">
        <v>1862</v>
      </c>
      <c r="AH133" s="86"/>
      <c r="AI133" s="86"/>
      <c r="AJ133" s="86" t="s">
        <v>765</v>
      </c>
      <c r="AK133" s="86" t="s">
        <v>1826</v>
      </c>
      <c r="AL133" s="115" t="str">
        <f ca="1" t="shared" si="27"/>
        <v>11 Tahun 10 Bulan </v>
      </c>
      <c r="AM133" s="86" t="s">
        <v>309</v>
      </c>
      <c r="AN133" s="86" t="s">
        <v>93</v>
      </c>
      <c r="AO133" s="86" t="s">
        <v>1863</v>
      </c>
      <c r="AP133" s="86" t="s">
        <v>297</v>
      </c>
      <c r="AQ133" s="86"/>
      <c r="AR133" s="86"/>
      <c r="AS133" s="86" t="s">
        <v>232</v>
      </c>
      <c r="AT133" s="48"/>
      <c r="AU133" s="86" t="s">
        <v>298</v>
      </c>
      <c r="AV133" s="86"/>
      <c r="AW133" s="85" t="s">
        <v>100</v>
      </c>
      <c r="AX133" s="85" t="s">
        <v>101</v>
      </c>
      <c r="AY133" s="86" t="s">
        <v>619</v>
      </c>
      <c r="AZ133" s="48"/>
      <c r="BA133" s="48"/>
      <c r="BB133" s="86" t="s">
        <v>1864</v>
      </c>
      <c r="BC133" s="86" t="s">
        <v>1865</v>
      </c>
      <c r="BD133" s="48">
        <v>12</v>
      </c>
      <c r="BE133" s="86">
        <v>15</v>
      </c>
      <c r="BF133" s="86">
        <v>27</v>
      </c>
      <c r="BG133" s="86" t="s">
        <v>620</v>
      </c>
      <c r="BH133" s="48" t="s">
        <v>526</v>
      </c>
      <c r="BI133" s="86" t="s">
        <v>1772</v>
      </c>
      <c r="BJ133" s="86" t="s">
        <v>1856</v>
      </c>
      <c r="BK133" s="610" t="s">
        <v>1866</v>
      </c>
    </row>
    <row r="134" s="44" customFormat="1" ht="22.5" customHeight="1" spans="1:63">
      <c r="A134" s="54">
        <v>129</v>
      </c>
      <c r="B134" s="84">
        <v>2706</v>
      </c>
      <c r="C134" s="85" t="s">
        <v>75</v>
      </c>
      <c r="D134" s="85" t="s">
        <v>76</v>
      </c>
      <c r="E134" s="85" t="s">
        <v>1738</v>
      </c>
      <c r="F134" s="48"/>
      <c r="G134" s="86" t="s">
        <v>1867</v>
      </c>
      <c r="H134" s="86"/>
      <c r="I134" s="113" t="str">
        <f t="shared" ref="I134:I197" si="29">IF(H134&lt;&gt;"",G134&amp;", "&amp;H134,G134)</f>
        <v>Syahdan Erwanto</v>
      </c>
      <c r="J134" s="151" t="s">
        <v>127</v>
      </c>
      <c r="K134" s="102" t="str">
        <f t="shared" si="24"/>
        <v>Laki-laki</v>
      </c>
      <c r="L134" s="151" t="s">
        <v>1780</v>
      </c>
      <c r="M134" s="86" t="s">
        <v>1868</v>
      </c>
      <c r="N134" s="115" t="str">
        <f ca="1" t="shared" ref="N134:N197" si="30">+DATEDIF(M134,NOW(),"Y")&amp;" Tahun "&amp;+DATEDIF(M134,NOW(),"YM")&amp;" Bulan "</f>
        <v>32 Tahun 7 Bulan </v>
      </c>
      <c r="O134" s="85" t="s">
        <v>1869</v>
      </c>
      <c r="P134" s="105" t="e">
        <f ca="1" t="shared" si="21"/>
        <v>#VALUE!</v>
      </c>
      <c r="Q134" s="105" t="e">
        <f ca="1" t="shared" si="22"/>
        <v>#VALUE!</v>
      </c>
      <c r="R134" s="86" t="s">
        <v>1870</v>
      </c>
      <c r="S134" s="86"/>
      <c r="T134" s="48"/>
      <c r="U134" s="86" t="s">
        <v>792</v>
      </c>
      <c r="V134" s="86" t="s">
        <v>84</v>
      </c>
      <c r="W134" s="85" t="s">
        <v>112</v>
      </c>
      <c r="X134" s="86" t="s">
        <v>1871</v>
      </c>
      <c r="Y134" s="151">
        <v>3</v>
      </c>
      <c r="Z134" s="84"/>
      <c r="AA134" s="48"/>
      <c r="AB134" s="86" t="s">
        <v>1780</v>
      </c>
      <c r="AC134" s="86">
        <v>77375</v>
      </c>
      <c r="AD134" s="86" t="s">
        <v>1763</v>
      </c>
      <c r="AE134" s="48"/>
      <c r="AF134" s="86" t="s">
        <v>1872</v>
      </c>
      <c r="AG134" s="85"/>
      <c r="AH134" s="48"/>
      <c r="AI134" s="48"/>
      <c r="AJ134" s="86" t="s">
        <v>1873</v>
      </c>
      <c r="AK134" s="86" t="s">
        <v>1874</v>
      </c>
      <c r="AL134" s="115" t="str">
        <f ca="1" t="shared" si="27"/>
        <v>10 Tahun 10 Bulan </v>
      </c>
      <c r="AM134" s="86" t="s">
        <v>92</v>
      </c>
      <c r="AN134" s="86" t="s">
        <v>93</v>
      </c>
      <c r="AO134" s="86" t="s">
        <v>1875</v>
      </c>
      <c r="AP134" s="86" t="s">
        <v>95</v>
      </c>
      <c r="AQ134" s="85"/>
      <c r="AR134" s="48"/>
      <c r="AS134" s="86" t="s">
        <v>387</v>
      </c>
      <c r="AT134" s="48"/>
      <c r="AU134" s="86" t="s">
        <v>298</v>
      </c>
      <c r="AV134" s="48"/>
      <c r="AW134" s="85" t="s">
        <v>100</v>
      </c>
      <c r="AX134" s="85" t="s">
        <v>1876</v>
      </c>
      <c r="AY134" s="85" t="s">
        <v>76</v>
      </c>
      <c r="AZ134" s="48"/>
      <c r="BA134" s="48"/>
      <c r="BB134" s="85"/>
      <c r="BC134" s="48"/>
      <c r="BD134" s="48"/>
      <c r="BE134" s="48"/>
      <c r="BF134" s="48"/>
      <c r="BG134" s="48" t="s">
        <v>1877</v>
      </c>
      <c r="BH134" s="48" t="s">
        <v>526</v>
      </c>
      <c r="BI134" s="86" t="s">
        <v>1772</v>
      </c>
      <c r="BJ134" s="86" t="s">
        <v>1867</v>
      </c>
      <c r="BK134" s="612" t="s">
        <v>1878</v>
      </c>
    </row>
    <row r="135" s="44" customFormat="1" ht="22.5" customHeight="1" spans="1:63">
      <c r="A135" s="54">
        <v>130</v>
      </c>
      <c r="B135" s="84">
        <v>2707</v>
      </c>
      <c r="C135" s="85" t="s">
        <v>75</v>
      </c>
      <c r="D135" s="85" t="s">
        <v>76</v>
      </c>
      <c r="E135" s="85" t="s">
        <v>1738</v>
      </c>
      <c r="F135" s="48"/>
      <c r="G135" s="86" t="s">
        <v>1879</v>
      </c>
      <c r="H135" s="86" t="s">
        <v>1880</v>
      </c>
      <c r="I135" s="113" t="str">
        <f t="shared" si="29"/>
        <v>Asriani, S.E</v>
      </c>
      <c r="J135" s="151" t="s">
        <v>80</v>
      </c>
      <c r="K135" s="102" t="str">
        <f t="shared" si="24"/>
        <v>Perempuan</v>
      </c>
      <c r="L135" s="151" t="s">
        <v>1881</v>
      </c>
      <c r="M135" s="86" t="s">
        <v>1882</v>
      </c>
      <c r="N135" s="115" t="str">
        <f ca="1" t="shared" si="30"/>
        <v>43 Tahun 4 Bulan </v>
      </c>
      <c r="O135" s="85" t="s">
        <v>1883</v>
      </c>
      <c r="P135" s="105" t="e">
        <f ca="1" t="shared" si="21"/>
        <v>#VALUE!</v>
      </c>
      <c r="Q135" s="105" t="e">
        <f ca="1" t="shared" si="22"/>
        <v>#VALUE!</v>
      </c>
      <c r="R135" s="86" t="s">
        <v>1884</v>
      </c>
      <c r="S135" s="86"/>
      <c r="T135" s="48"/>
      <c r="U135" s="86" t="s">
        <v>129</v>
      </c>
      <c r="V135" s="86" t="s">
        <v>84</v>
      </c>
      <c r="W135" s="85" t="s">
        <v>112</v>
      </c>
      <c r="X135" s="86" t="s">
        <v>1807</v>
      </c>
      <c r="Y135" s="151">
        <v>2</v>
      </c>
      <c r="Z135" s="84"/>
      <c r="AA135" s="48"/>
      <c r="AB135" s="86" t="s">
        <v>1885</v>
      </c>
      <c r="AC135" s="86">
        <v>77375</v>
      </c>
      <c r="AD135" s="86" t="s">
        <v>1763</v>
      </c>
      <c r="AE135" s="48"/>
      <c r="AF135" s="86" t="s">
        <v>1886</v>
      </c>
      <c r="AG135" s="211" t="s">
        <v>1887</v>
      </c>
      <c r="AH135" s="48"/>
      <c r="AI135" s="48"/>
      <c r="AJ135" s="86" t="s">
        <v>1888</v>
      </c>
      <c r="AK135" s="86" t="s">
        <v>1784</v>
      </c>
      <c r="AL135" s="115" t="str">
        <f ca="1" t="shared" si="27"/>
        <v>14 Tahun 4 Bulan </v>
      </c>
      <c r="AM135" s="86" t="s">
        <v>309</v>
      </c>
      <c r="AN135" s="86" t="s">
        <v>93</v>
      </c>
      <c r="AO135" s="86" t="s">
        <v>1889</v>
      </c>
      <c r="AP135" s="86" t="s">
        <v>95</v>
      </c>
      <c r="AQ135" s="85"/>
      <c r="AR135" s="48"/>
      <c r="AS135" s="86" t="s">
        <v>387</v>
      </c>
      <c r="AT135" s="48"/>
      <c r="AU135" s="86" t="s">
        <v>298</v>
      </c>
      <c r="AV135" s="86" t="s">
        <v>1890</v>
      </c>
      <c r="AW135" s="85" t="s">
        <v>100</v>
      </c>
      <c r="AX135" s="85" t="s">
        <v>101</v>
      </c>
      <c r="AY135" s="85" t="s">
        <v>1891</v>
      </c>
      <c r="AZ135" s="48"/>
      <c r="BA135" s="48"/>
      <c r="BB135" s="85" t="s">
        <v>390</v>
      </c>
      <c r="BC135" s="48"/>
      <c r="BD135" s="48"/>
      <c r="BE135" s="48"/>
      <c r="BF135" s="48"/>
      <c r="BG135" s="48" t="s">
        <v>1891</v>
      </c>
      <c r="BH135" s="48" t="s">
        <v>526</v>
      </c>
      <c r="BI135" s="86" t="s">
        <v>1772</v>
      </c>
      <c r="BJ135" s="86" t="s">
        <v>1879</v>
      </c>
      <c r="BK135" s="613" t="s">
        <v>1892</v>
      </c>
    </row>
    <row r="136" s="44" customFormat="1" ht="22.5" customHeight="1" spans="1:63">
      <c r="A136" s="54">
        <v>131</v>
      </c>
      <c r="B136" s="84">
        <v>2708</v>
      </c>
      <c r="C136" s="85" t="s">
        <v>75</v>
      </c>
      <c r="D136" s="85" t="s">
        <v>76</v>
      </c>
      <c r="E136" s="85" t="s">
        <v>1738</v>
      </c>
      <c r="F136" s="48"/>
      <c r="G136" s="86" t="s">
        <v>1893</v>
      </c>
      <c r="H136" s="86"/>
      <c r="I136" s="113" t="str">
        <f t="shared" si="29"/>
        <v>Saidil</v>
      </c>
      <c r="J136" s="151" t="s">
        <v>127</v>
      </c>
      <c r="K136" s="102" t="str">
        <f t="shared" si="24"/>
        <v>Laki-laki</v>
      </c>
      <c r="L136" s="151" t="s">
        <v>75</v>
      </c>
      <c r="M136" s="86" t="s">
        <v>1894</v>
      </c>
      <c r="N136" s="115" t="str">
        <f ca="1" t="shared" si="30"/>
        <v>33 Tahun 2 Bulan </v>
      </c>
      <c r="O136" s="85" t="s">
        <v>1895</v>
      </c>
      <c r="P136" s="105" t="e">
        <f ca="1" t="shared" si="21"/>
        <v>#VALUE!</v>
      </c>
      <c r="Q136" s="105" t="e">
        <f ca="1" t="shared" si="22"/>
        <v>#VALUE!</v>
      </c>
      <c r="R136" s="86" t="s">
        <v>1896</v>
      </c>
      <c r="S136" s="86"/>
      <c r="T136" s="48"/>
      <c r="U136" s="86" t="s">
        <v>129</v>
      </c>
      <c r="V136" s="86" t="s">
        <v>84</v>
      </c>
      <c r="W136" s="85" t="s">
        <v>112</v>
      </c>
      <c r="X136" s="86" t="s">
        <v>1897</v>
      </c>
      <c r="Y136" s="151">
        <v>21</v>
      </c>
      <c r="Z136" s="84"/>
      <c r="AA136" s="48"/>
      <c r="AB136" s="86" t="s">
        <v>87</v>
      </c>
      <c r="AC136" s="86">
        <v>77312</v>
      </c>
      <c r="AD136" s="86" t="s">
        <v>292</v>
      </c>
      <c r="AE136" s="48"/>
      <c r="AF136" s="86" t="s">
        <v>1898</v>
      </c>
      <c r="AG136" s="86" t="s">
        <v>1899</v>
      </c>
      <c r="AH136" s="48"/>
      <c r="AI136" s="48"/>
      <c r="AJ136" s="86" t="s">
        <v>765</v>
      </c>
      <c r="AK136" s="86" t="s">
        <v>1900</v>
      </c>
      <c r="AL136" s="115" t="str">
        <f ca="1" t="shared" si="27"/>
        <v>10 Tahun 10 Bulan </v>
      </c>
      <c r="AM136" s="86" t="s">
        <v>309</v>
      </c>
      <c r="AN136" s="86" t="s">
        <v>93</v>
      </c>
      <c r="AO136" s="86" t="s">
        <v>578</v>
      </c>
      <c r="AP136" s="86" t="s">
        <v>297</v>
      </c>
      <c r="AQ136" s="85"/>
      <c r="AR136" s="48"/>
      <c r="AS136" s="85"/>
      <c r="AT136" s="48"/>
      <c r="AU136" s="86" t="s">
        <v>298</v>
      </c>
      <c r="AV136" s="48"/>
      <c r="AW136" s="85" t="s">
        <v>100</v>
      </c>
      <c r="AX136" s="85" t="s">
        <v>1876</v>
      </c>
      <c r="AY136" s="85" t="s">
        <v>1901</v>
      </c>
      <c r="AZ136" s="48"/>
      <c r="BA136" s="48"/>
      <c r="BB136" s="85"/>
      <c r="BC136" s="48"/>
      <c r="BD136" s="48"/>
      <c r="BE136" s="48"/>
      <c r="BF136" s="48"/>
      <c r="BG136" s="48" t="s">
        <v>1902</v>
      </c>
      <c r="BH136" s="48" t="s">
        <v>526</v>
      </c>
      <c r="BI136" s="86" t="s">
        <v>88</v>
      </c>
      <c r="BJ136" s="86" t="s">
        <v>1893</v>
      </c>
      <c r="BK136" s="613" t="s">
        <v>1903</v>
      </c>
    </row>
    <row r="137" customFormat="1" spans="1:63">
      <c r="A137" s="54">
        <v>132</v>
      </c>
      <c r="B137" s="194">
        <v>2718</v>
      </c>
      <c r="C137" s="54" t="s">
        <v>509</v>
      </c>
      <c r="D137" s="52" t="s">
        <v>76</v>
      </c>
      <c r="E137" s="54" t="s">
        <v>1904</v>
      </c>
      <c r="F137" s="54"/>
      <c r="G137" s="296" t="s">
        <v>1905</v>
      </c>
      <c r="H137" s="297"/>
      <c r="I137" s="102" t="str">
        <f t="shared" si="29"/>
        <v>Agus Purwati</v>
      </c>
      <c r="J137" s="297" t="s">
        <v>80</v>
      </c>
      <c r="K137" s="102" t="str">
        <f t="shared" si="24"/>
        <v>Perempuan</v>
      </c>
      <c r="L137" s="12" t="s">
        <v>1906</v>
      </c>
      <c r="M137" s="278" t="s">
        <v>1907</v>
      </c>
      <c r="N137" s="155" t="str">
        <f ca="1" t="shared" si="30"/>
        <v>41 Tahun 2 Bulan </v>
      </c>
      <c r="O137" s="614" t="s">
        <v>1908</v>
      </c>
      <c r="P137" s="105" t="e">
        <f ca="1" t="shared" si="21"/>
        <v>#VALUE!</v>
      </c>
      <c r="Q137" s="105" t="e">
        <f ca="1" t="shared" si="22"/>
        <v>#VALUE!</v>
      </c>
      <c r="R137" s="560" t="s">
        <v>1909</v>
      </c>
      <c r="S137" s="54"/>
      <c r="T137" s="278" t="s">
        <v>1910</v>
      </c>
      <c r="U137" s="54" t="s">
        <v>129</v>
      </c>
      <c r="V137" s="54" t="s">
        <v>84</v>
      </c>
      <c r="W137" s="52" t="s">
        <v>112</v>
      </c>
      <c r="X137" s="261" t="s">
        <v>1911</v>
      </c>
      <c r="Y137" s="260" t="s">
        <v>156</v>
      </c>
      <c r="Z137" s="260" t="s">
        <v>156</v>
      </c>
      <c r="AA137" s="260" t="s">
        <v>156</v>
      </c>
      <c r="AB137" s="54" t="s">
        <v>518</v>
      </c>
      <c r="AC137" s="194">
        <v>77372</v>
      </c>
      <c r="AD137" s="194" t="s">
        <v>518</v>
      </c>
      <c r="AE137" s="54"/>
      <c r="AF137" s="615" t="s">
        <v>1912</v>
      </c>
      <c r="AG137" s="261" t="s">
        <v>1913</v>
      </c>
      <c r="AH137" s="54"/>
      <c r="AI137" s="54"/>
      <c r="AJ137" s="261" t="s">
        <v>1914</v>
      </c>
      <c r="AK137" s="245">
        <v>40946</v>
      </c>
      <c r="AL137" s="155" t="str">
        <f ca="1" t="shared" si="27"/>
        <v>13 Tahun 8 Bulan </v>
      </c>
      <c r="AM137" s="261" t="s">
        <v>309</v>
      </c>
      <c r="AN137" s="261" t="s">
        <v>93</v>
      </c>
      <c r="AO137" s="261" t="s">
        <v>1915</v>
      </c>
      <c r="AP137" s="260" t="s">
        <v>838</v>
      </c>
      <c r="AQ137" s="261" t="s">
        <v>1916</v>
      </c>
      <c r="AR137" s="334"/>
      <c r="AS137" s="261"/>
      <c r="AT137" s="54"/>
      <c r="AU137" s="54"/>
      <c r="AV137" s="616" t="s">
        <v>1917</v>
      </c>
      <c r="AW137" s="52" t="s">
        <v>100</v>
      </c>
      <c r="AX137" s="277" t="s">
        <v>120</v>
      </c>
      <c r="AY137" s="278" t="s">
        <v>1918</v>
      </c>
      <c r="AZ137" s="54"/>
      <c r="BA137" s="54"/>
      <c r="BB137" s="54"/>
      <c r="BC137" s="261"/>
      <c r="BD137" s="54"/>
      <c r="BE137" s="54"/>
      <c r="BF137" s="54"/>
      <c r="BG137" s="54"/>
      <c r="BH137" s="281" t="s">
        <v>105</v>
      </c>
      <c r="BI137" s="54" t="s">
        <v>88</v>
      </c>
      <c r="BJ137" s="261" t="s">
        <v>1919</v>
      </c>
      <c r="BK137" s="561" t="s">
        <v>1920</v>
      </c>
    </row>
    <row r="138" customFormat="1" spans="1:63">
      <c r="A138" s="54">
        <v>133</v>
      </c>
      <c r="B138" s="194">
        <v>2710</v>
      </c>
      <c r="C138" s="54" t="s">
        <v>509</v>
      </c>
      <c r="D138" s="52" t="s">
        <v>76</v>
      </c>
      <c r="E138" s="54" t="s">
        <v>1904</v>
      </c>
      <c r="F138" s="54"/>
      <c r="G138" s="296" t="s">
        <v>1921</v>
      </c>
      <c r="H138" s="297" t="s">
        <v>177</v>
      </c>
      <c r="I138" s="102" t="str">
        <f t="shared" si="29"/>
        <v>Aristoteles Asmanegara, S.Pd</v>
      </c>
      <c r="J138" s="297" t="s">
        <v>127</v>
      </c>
      <c r="K138" s="102" t="str">
        <f t="shared" si="24"/>
        <v>Laki-laki</v>
      </c>
      <c r="L138" s="436" t="s">
        <v>1922</v>
      </c>
      <c r="M138" s="278" t="s">
        <v>1923</v>
      </c>
      <c r="N138" s="155" t="str">
        <f ca="1" t="shared" si="30"/>
        <v>37 Tahun 0 Bulan </v>
      </c>
      <c r="O138" s="614" t="s">
        <v>1924</v>
      </c>
      <c r="P138" s="105" t="e">
        <f ca="1" t="shared" si="21"/>
        <v>#VALUE!</v>
      </c>
      <c r="Q138" s="105" t="e">
        <f ca="1" t="shared" si="22"/>
        <v>#VALUE!</v>
      </c>
      <c r="R138" s="560" t="s">
        <v>1925</v>
      </c>
      <c r="S138" s="54"/>
      <c r="T138" s="278" t="s">
        <v>1926</v>
      </c>
      <c r="U138" s="54" t="s">
        <v>83</v>
      </c>
      <c r="V138" s="54" t="s">
        <v>84</v>
      </c>
      <c r="W138" s="52" t="s">
        <v>112</v>
      </c>
      <c r="X138" s="186" t="s">
        <v>1927</v>
      </c>
      <c r="Y138" s="200" t="s">
        <v>156</v>
      </c>
      <c r="Z138" s="200" t="s">
        <v>156</v>
      </c>
      <c r="AA138" s="200" t="s">
        <v>156</v>
      </c>
      <c r="AB138" s="54" t="s">
        <v>518</v>
      </c>
      <c r="AC138" s="194">
        <v>77372</v>
      </c>
      <c r="AD138" s="194" t="s">
        <v>518</v>
      </c>
      <c r="AE138" s="54"/>
      <c r="AF138" s="617" t="s">
        <v>1928</v>
      </c>
      <c r="AG138" s="456" t="s">
        <v>1929</v>
      </c>
      <c r="AH138" s="54"/>
      <c r="AI138" s="54"/>
      <c r="AJ138" s="186" t="s">
        <v>1930</v>
      </c>
      <c r="AK138" s="245">
        <v>41306</v>
      </c>
      <c r="AL138" s="155" t="str">
        <f ca="1" t="shared" si="27"/>
        <v>12 Tahun 9 Bulan </v>
      </c>
      <c r="AM138" s="186" t="s">
        <v>309</v>
      </c>
      <c r="AN138" s="261" t="s">
        <v>93</v>
      </c>
      <c r="AO138" s="186" t="s">
        <v>1931</v>
      </c>
      <c r="AP138" s="260" t="s">
        <v>838</v>
      </c>
      <c r="AQ138" s="186" t="s">
        <v>1932</v>
      </c>
      <c r="AR138" s="334"/>
      <c r="AS138" s="186"/>
      <c r="AT138" s="54"/>
      <c r="AU138" s="54"/>
      <c r="AV138" s="261" t="s">
        <v>1933</v>
      </c>
      <c r="AW138" s="52" t="s">
        <v>100</v>
      </c>
      <c r="AX138" s="277" t="s">
        <v>101</v>
      </c>
      <c r="AY138" s="278" t="s">
        <v>686</v>
      </c>
      <c r="AZ138" s="54"/>
      <c r="BA138" s="54"/>
      <c r="BB138" s="54"/>
      <c r="BC138" s="186" t="s">
        <v>1934</v>
      </c>
      <c r="BD138" s="54"/>
      <c r="BE138" s="54">
        <v>24</v>
      </c>
      <c r="BF138" s="54">
        <v>24</v>
      </c>
      <c r="BG138" s="54"/>
      <c r="BH138" s="281" t="s">
        <v>105</v>
      </c>
      <c r="BI138" s="54" t="s">
        <v>88</v>
      </c>
      <c r="BJ138" s="261" t="s">
        <v>1935</v>
      </c>
      <c r="BK138" s="561" t="s">
        <v>1936</v>
      </c>
    </row>
    <row r="139" customFormat="1" spans="1:63">
      <c r="A139" s="54">
        <v>134</v>
      </c>
      <c r="B139" s="194">
        <v>2711</v>
      </c>
      <c r="C139" s="54" t="s">
        <v>509</v>
      </c>
      <c r="D139" s="52" t="s">
        <v>76</v>
      </c>
      <c r="E139" s="54" t="s">
        <v>1904</v>
      </c>
      <c r="F139" s="54"/>
      <c r="G139" s="296" t="s">
        <v>1937</v>
      </c>
      <c r="H139" s="297" t="s">
        <v>1328</v>
      </c>
      <c r="I139" s="102" t="str">
        <f t="shared" si="29"/>
        <v>Asnawir, S.Pd.I</v>
      </c>
      <c r="J139" s="297" t="s">
        <v>127</v>
      </c>
      <c r="K139" s="102" t="str">
        <f t="shared" si="24"/>
        <v>Laki-laki</v>
      </c>
      <c r="L139" s="436" t="s">
        <v>1938</v>
      </c>
      <c r="M139" s="12" t="s">
        <v>1939</v>
      </c>
      <c r="N139" s="155" t="str">
        <f ca="1" t="shared" si="30"/>
        <v>40 Tahun 6 Bulan </v>
      </c>
      <c r="O139" s="618" t="s">
        <v>1940</v>
      </c>
      <c r="P139" s="105">
        <f ca="1" t="shared" si="21"/>
        <v>40</v>
      </c>
      <c r="Q139" s="105" t="str">
        <f ca="1" t="shared" si="22"/>
        <v>OKE</v>
      </c>
      <c r="R139" s="560" t="s">
        <v>1941</v>
      </c>
      <c r="S139" s="54"/>
      <c r="T139" s="278" t="s">
        <v>1942</v>
      </c>
      <c r="U139" s="54" t="s">
        <v>83</v>
      </c>
      <c r="V139" s="54" t="s">
        <v>84</v>
      </c>
      <c r="W139" s="52" t="s">
        <v>112</v>
      </c>
      <c r="X139" s="186" t="s">
        <v>1943</v>
      </c>
      <c r="Y139" s="200" t="s">
        <v>156</v>
      </c>
      <c r="Z139" s="200" t="s">
        <v>156</v>
      </c>
      <c r="AA139" s="200" t="s">
        <v>156</v>
      </c>
      <c r="AB139" s="54" t="s">
        <v>518</v>
      </c>
      <c r="AC139" s="194">
        <v>77372</v>
      </c>
      <c r="AD139" s="194" t="s">
        <v>518</v>
      </c>
      <c r="AE139" s="54"/>
      <c r="AF139" s="617" t="s">
        <v>1944</v>
      </c>
      <c r="AG139" s="456" t="s">
        <v>1945</v>
      </c>
      <c r="AH139" s="54"/>
      <c r="AI139" s="54"/>
      <c r="AJ139" s="186" t="s">
        <v>1946</v>
      </c>
      <c r="AK139" s="245">
        <v>40550</v>
      </c>
      <c r="AL139" s="155" t="str">
        <f ca="1" t="shared" si="27"/>
        <v>14 Tahun 9 Bulan </v>
      </c>
      <c r="AM139" s="186" t="s">
        <v>309</v>
      </c>
      <c r="AN139" s="261" t="s">
        <v>93</v>
      </c>
      <c r="AO139" s="186" t="s">
        <v>1947</v>
      </c>
      <c r="AP139" s="260" t="s">
        <v>838</v>
      </c>
      <c r="AQ139" s="186" t="s">
        <v>1948</v>
      </c>
      <c r="AR139" s="334"/>
      <c r="AS139" s="186"/>
      <c r="AT139" s="54"/>
      <c r="AU139" s="54"/>
      <c r="AV139" s="261" t="s">
        <v>1949</v>
      </c>
      <c r="AW139" s="52" t="s">
        <v>100</v>
      </c>
      <c r="AX139" s="277" t="s">
        <v>101</v>
      </c>
      <c r="AY139" s="278" t="s">
        <v>606</v>
      </c>
      <c r="AZ139" s="54"/>
      <c r="BA139" s="54"/>
      <c r="BB139" s="54"/>
      <c r="BC139" s="186" t="s">
        <v>1950</v>
      </c>
      <c r="BD139" s="54"/>
      <c r="BE139" s="54">
        <v>22</v>
      </c>
      <c r="BF139" s="54">
        <v>22</v>
      </c>
      <c r="BG139" s="54"/>
      <c r="BH139" s="281" t="s">
        <v>105</v>
      </c>
      <c r="BI139" s="54" t="s">
        <v>88</v>
      </c>
      <c r="BJ139" s="261" t="s">
        <v>1951</v>
      </c>
      <c r="BK139" s="561" t="s">
        <v>1952</v>
      </c>
    </row>
    <row r="140" customFormat="1" spans="1:63">
      <c r="A140" s="54">
        <v>135</v>
      </c>
      <c r="B140" s="194">
        <v>2712</v>
      </c>
      <c r="C140" s="54" t="s">
        <v>509</v>
      </c>
      <c r="D140" s="52" t="s">
        <v>76</v>
      </c>
      <c r="E140" s="54" t="s">
        <v>1904</v>
      </c>
      <c r="F140" s="54"/>
      <c r="G140" s="296" t="s">
        <v>1879</v>
      </c>
      <c r="H140" s="297" t="s">
        <v>1953</v>
      </c>
      <c r="I140" s="102" t="str">
        <f t="shared" si="29"/>
        <v>Asriani, S.PD</v>
      </c>
      <c r="J140" s="297" t="s">
        <v>80</v>
      </c>
      <c r="K140" s="102" t="str">
        <f t="shared" si="24"/>
        <v>Perempuan</v>
      </c>
      <c r="L140" s="12" t="s">
        <v>1954</v>
      </c>
      <c r="M140" s="438" t="s">
        <v>1955</v>
      </c>
      <c r="N140" s="155" t="str">
        <f ca="1" t="shared" si="30"/>
        <v>36 Tahun 10 Bulan </v>
      </c>
      <c r="O140" s="614" t="s">
        <v>1956</v>
      </c>
      <c r="P140" s="105" t="e">
        <f ca="1" t="shared" si="21"/>
        <v>#VALUE!</v>
      </c>
      <c r="Q140" s="105" t="e">
        <f ca="1" t="shared" si="22"/>
        <v>#VALUE!</v>
      </c>
      <c r="R140" s="560" t="s">
        <v>1957</v>
      </c>
      <c r="S140" s="54"/>
      <c r="T140" s="278" t="s">
        <v>1958</v>
      </c>
      <c r="U140" s="54" t="s">
        <v>83</v>
      </c>
      <c r="V140" s="54" t="s">
        <v>84</v>
      </c>
      <c r="W140" s="52" t="s">
        <v>112</v>
      </c>
      <c r="X140" s="186" t="s">
        <v>1959</v>
      </c>
      <c r="Y140" s="200" t="s">
        <v>156</v>
      </c>
      <c r="Z140" s="200" t="s">
        <v>156</v>
      </c>
      <c r="AA140" s="200" t="s">
        <v>156</v>
      </c>
      <c r="AB140" s="54" t="s">
        <v>518</v>
      </c>
      <c r="AC140" s="194">
        <v>77372</v>
      </c>
      <c r="AD140" s="194" t="s">
        <v>518</v>
      </c>
      <c r="AE140" s="54"/>
      <c r="AF140" s="617" t="s">
        <v>1960</v>
      </c>
      <c r="AG140" s="261" t="s">
        <v>1961</v>
      </c>
      <c r="AH140" s="54"/>
      <c r="AI140" s="54"/>
      <c r="AJ140" s="186" t="s">
        <v>1914</v>
      </c>
      <c r="AK140" s="245">
        <v>40946</v>
      </c>
      <c r="AL140" s="155" t="str">
        <f ca="1" t="shared" si="27"/>
        <v>13 Tahun 8 Bulan </v>
      </c>
      <c r="AM140" s="186" t="s">
        <v>309</v>
      </c>
      <c r="AN140" s="457" t="s">
        <v>93</v>
      </c>
      <c r="AO140" s="186" t="s">
        <v>1962</v>
      </c>
      <c r="AP140" s="260" t="s">
        <v>838</v>
      </c>
      <c r="AQ140" s="186" t="s">
        <v>1963</v>
      </c>
      <c r="AR140" s="334"/>
      <c r="AS140" s="186" t="s">
        <v>1964</v>
      </c>
      <c r="AT140" s="54"/>
      <c r="AU140" s="54"/>
      <c r="AV140" s="261" t="s">
        <v>1965</v>
      </c>
      <c r="AW140" s="52" t="s">
        <v>100</v>
      </c>
      <c r="AX140" s="277" t="s">
        <v>101</v>
      </c>
      <c r="AY140" s="278" t="s">
        <v>313</v>
      </c>
      <c r="AZ140" s="54"/>
      <c r="BA140" s="54"/>
      <c r="BB140" s="54"/>
      <c r="BC140" s="186" t="s">
        <v>1966</v>
      </c>
      <c r="BD140" s="54"/>
      <c r="BE140" s="54">
        <v>24</v>
      </c>
      <c r="BF140" s="54">
        <v>24</v>
      </c>
      <c r="BG140" s="54"/>
      <c r="BH140" s="281" t="s">
        <v>105</v>
      </c>
      <c r="BI140" s="54" t="s">
        <v>88</v>
      </c>
      <c r="BJ140" s="261" t="s">
        <v>1967</v>
      </c>
      <c r="BK140" s="561" t="s">
        <v>1968</v>
      </c>
    </row>
    <row r="141" customFormat="1" spans="1:63">
      <c r="A141" s="54">
        <v>136</v>
      </c>
      <c r="B141" s="194">
        <v>2713</v>
      </c>
      <c r="C141" s="54" t="s">
        <v>509</v>
      </c>
      <c r="D141" s="52" t="s">
        <v>76</v>
      </c>
      <c r="E141" s="54" t="s">
        <v>1904</v>
      </c>
      <c r="F141" s="54"/>
      <c r="G141" s="296" t="s">
        <v>1969</v>
      </c>
      <c r="H141" s="297" t="s">
        <v>177</v>
      </c>
      <c r="I141" s="102" t="str">
        <f t="shared" si="29"/>
        <v>Dian Puji Astuti, S.Pd</v>
      </c>
      <c r="J141" s="297" t="s">
        <v>80</v>
      </c>
      <c r="K141" s="102" t="str">
        <f t="shared" si="24"/>
        <v>Perempuan</v>
      </c>
      <c r="L141" s="436" t="s">
        <v>1970</v>
      </c>
      <c r="M141" s="278" t="s">
        <v>1971</v>
      </c>
      <c r="N141" s="155" t="str">
        <f ca="1" t="shared" si="30"/>
        <v>39 Tahun 0 Bulan </v>
      </c>
      <c r="O141" s="614" t="s">
        <v>1972</v>
      </c>
      <c r="P141" s="105" t="e">
        <f ca="1" t="shared" si="21"/>
        <v>#VALUE!</v>
      </c>
      <c r="Q141" s="105" t="e">
        <f ca="1" t="shared" si="22"/>
        <v>#VALUE!</v>
      </c>
      <c r="R141" s="560" t="s">
        <v>1973</v>
      </c>
      <c r="S141" s="54"/>
      <c r="T141" s="438" t="s">
        <v>1974</v>
      </c>
      <c r="U141" s="54" t="s">
        <v>83</v>
      </c>
      <c r="V141" s="54" t="s">
        <v>84</v>
      </c>
      <c r="W141" s="52" t="s">
        <v>112</v>
      </c>
      <c r="X141" s="261" t="s">
        <v>1959</v>
      </c>
      <c r="Y141" s="200" t="s">
        <v>156</v>
      </c>
      <c r="Z141" s="200" t="s">
        <v>156</v>
      </c>
      <c r="AA141" s="200" t="s">
        <v>156</v>
      </c>
      <c r="AB141" s="54" t="s">
        <v>518</v>
      </c>
      <c r="AC141" s="194">
        <v>77372</v>
      </c>
      <c r="AD141" s="194" t="s">
        <v>518</v>
      </c>
      <c r="AE141" s="54"/>
      <c r="AF141" s="617" t="s">
        <v>1975</v>
      </c>
      <c r="AG141" s="456" t="s">
        <v>1976</v>
      </c>
      <c r="AH141" s="54"/>
      <c r="AI141" s="54"/>
      <c r="AJ141" s="186" t="s">
        <v>1914</v>
      </c>
      <c r="AK141" s="245">
        <v>40946</v>
      </c>
      <c r="AL141" s="155" t="str">
        <f ca="1" t="shared" si="27"/>
        <v>13 Tahun 8 Bulan </v>
      </c>
      <c r="AM141" s="186" t="s">
        <v>309</v>
      </c>
      <c r="AN141" s="261" t="s">
        <v>93</v>
      </c>
      <c r="AO141" s="186" t="s">
        <v>1977</v>
      </c>
      <c r="AP141" s="260" t="s">
        <v>838</v>
      </c>
      <c r="AQ141" s="186" t="s">
        <v>1978</v>
      </c>
      <c r="AR141" s="334"/>
      <c r="AS141" s="186" t="s">
        <v>1979</v>
      </c>
      <c r="AT141" s="54"/>
      <c r="AU141" s="54"/>
      <c r="AV141" s="261" t="s">
        <v>1980</v>
      </c>
      <c r="AW141" s="52" t="s">
        <v>100</v>
      </c>
      <c r="AX141" s="277" t="s">
        <v>101</v>
      </c>
      <c r="AY141" s="278" t="s">
        <v>330</v>
      </c>
      <c r="AZ141" s="54"/>
      <c r="BA141" s="54"/>
      <c r="BB141" s="54"/>
      <c r="BC141" s="186" t="s">
        <v>1675</v>
      </c>
      <c r="BD141" s="54"/>
      <c r="BE141" s="54">
        <v>26</v>
      </c>
      <c r="BF141" s="54">
        <v>26</v>
      </c>
      <c r="BG141" s="54"/>
      <c r="BH141" s="281" t="s">
        <v>105</v>
      </c>
      <c r="BI141" s="54" t="s">
        <v>88</v>
      </c>
      <c r="BJ141" s="261" t="s">
        <v>1981</v>
      </c>
      <c r="BK141" s="561" t="s">
        <v>1982</v>
      </c>
    </row>
    <row r="142" customFormat="1" spans="1:63">
      <c r="A142" s="54">
        <v>137</v>
      </c>
      <c r="B142" s="194">
        <v>2714</v>
      </c>
      <c r="C142" s="54" t="s">
        <v>509</v>
      </c>
      <c r="D142" s="52" t="s">
        <v>76</v>
      </c>
      <c r="E142" s="54" t="s">
        <v>1904</v>
      </c>
      <c r="F142" s="54"/>
      <c r="G142" s="296" t="s">
        <v>1983</v>
      </c>
      <c r="H142" s="297" t="s">
        <v>1328</v>
      </c>
      <c r="I142" s="102" t="str">
        <f t="shared" si="29"/>
        <v>Harlina, S.Pd.I</v>
      </c>
      <c r="J142" s="297" t="s">
        <v>80</v>
      </c>
      <c r="K142" s="102" t="str">
        <f t="shared" si="24"/>
        <v>Perempuan</v>
      </c>
      <c r="L142" s="436" t="s">
        <v>1984</v>
      </c>
      <c r="M142" s="278" t="s">
        <v>1985</v>
      </c>
      <c r="N142" s="155" t="str">
        <f ca="1" t="shared" si="30"/>
        <v>48 Tahun 3 Bulan </v>
      </c>
      <c r="O142" s="614" t="s">
        <v>1986</v>
      </c>
      <c r="P142" s="105" t="e">
        <f ca="1" t="shared" si="21"/>
        <v>#VALUE!</v>
      </c>
      <c r="Q142" s="105" t="e">
        <f ca="1" t="shared" si="22"/>
        <v>#VALUE!</v>
      </c>
      <c r="R142" s="560" t="s">
        <v>1987</v>
      </c>
      <c r="S142" s="54"/>
      <c r="T142" s="278" t="s">
        <v>1988</v>
      </c>
      <c r="U142" s="54" t="s">
        <v>83</v>
      </c>
      <c r="V142" s="54" t="s">
        <v>84</v>
      </c>
      <c r="W142" s="52" t="s">
        <v>112</v>
      </c>
      <c r="X142" s="186" t="s">
        <v>1989</v>
      </c>
      <c r="Y142" s="200" t="s">
        <v>156</v>
      </c>
      <c r="Z142" s="200" t="s">
        <v>156</v>
      </c>
      <c r="AA142" s="200" t="s">
        <v>156</v>
      </c>
      <c r="AB142" s="54" t="s">
        <v>518</v>
      </c>
      <c r="AC142" s="194">
        <v>77372</v>
      </c>
      <c r="AD142" s="194" t="s">
        <v>518</v>
      </c>
      <c r="AE142" s="54"/>
      <c r="AF142" s="617" t="s">
        <v>1990</v>
      </c>
      <c r="AG142" s="456" t="s">
        <v>1991</v>
      </c>
      <c r="AH142" s="54"/>
      <c r="AI142" s="54"/>
      <c r="AJ142" s="186" t="s">
        <v>1992</v>
      </c>
      <c r="AK142" s="245">
        <v>40909</v>
      </c>
      <c r="AL142" s="155" t="str">
        <f ca="1" t="shared" si="27"/>
        <v>13 Tahun 10 Bulan </v>
      </c>
      <c r="AM142" s="186" t="s">
        <v>309</v>
      </c>
      <c r="AN142" s="261" t="s">
        <v>93</v>
      </c>
      <c r="AO142" s="186" t="s">
        <v>574</v>
      </c>
      <c r="AP142" s="260" t="s">
        <v>838</v>
      </c>
      <c r="AQ142" s="457" t="s">
        <v>1993</v>
      </c>
      <c r="AR142" s="39" t="s">
        <v>605</v>
      </c>
      <c r="AS142" s="186" t="s">
        <v>98</v>
      </c>
      <c r="AT142" s="54"/>
      <c r="AU142" s="54"/>
      <c r="AV142" s="261" t="s">
        <v>1994</v>
      </c>
      <c r="AW142" s="52" t="s">
        <v>100</v>
      </c>
      <c r="AX142" s="277" t="s">
        <v>101</v>
      </c>
      <c r="AY142" s="278" t="s">
        <v>606</v>
      </c>
      <c r="AZ142" s="54"/>
      <c r="BA142" s="54"/>
      <c r="BB142" s="54"/>
      <c r="BC142" s="186" t="s">
        <v>1995</v>
      </c>
      <c r="BD142" s="54"/>
      <c r="BE142" s="54">
        <v>36</v>
      </c>
      <c r="BF142" s="54">
        <v>36</v>
      </c>
      <c r="BG142" s="54"/>
      <c r="BH142" s="281" t="s">
        <v>105</v>
      </c>
      <c r="BI142" s="54" t="s">
        <v>88</v>
      </c>
      <c r="BJ142" s="261" t="s">
        <v>1996</v>
      </c>
      <c r="BK142" s="561" t="s">
        <v>1997</v>
      </c>
    </row>
    <row r="143" customFormat="1" spans="1:63">
      <c r="A143" s="54">
        <v>138</v>
      </c>
      <c r="B143" s="194">
        <v>2719</v>
      </c>
      <c r="C143" s="54" t="s">
        <v>509</v>
      </c>
      <c r="D143" s="52" t="s">
        <v>76</v>
      </c>
      <c r="E143" s="54" t="s">
        <v>1904</v>
      </c>
      <c r="F143" s="54"/>
      <c r="G143" s="296" t="s">
        <v>1998</v>
      </c>
      <c r="H143" s="297"/>
      <c r="I143" s="102" t="str">
        <f t="shared" si="29"/>
        <v>Ira Hairani</v>
      </c>
      <c r="J143" s="297" t="s">
        <v>80</v>
      </c>
      <c r="K143" s="102" t="str">
        <f t="shared" si="24"/>
        <v>Perempuan</v>
      </c>
      <c r="L143" s="436" t="s">
        <v>1536</v>
      </c>
      <c r="M143" s="278" t="s">
        <v>1999</v>
      </c>
      <c r="N143" s="155" t="str">
        <f ca="1" t="shared" si="30"/>
        <v>32 Tahun 0 Bulan </v>
      </c>
      <c r="O143" s="614" t="s">
        <v>2000</v>
      </c>
      <c r="P143" s="105" t="e">
        <f ca="1" t="shared" si="21"/>
        <v>#VALUE!</v>
      </c>
      <c r="Q143" s="105" t="e">
        <f ca="1" t="shared" si="22"/>
        <v>#VALUE!</v>
      </c>
      <c r="R143" s="560" t="s">
        <v>2001</v>
      </c>
      <c r="S143" s="54"/>
      <c r="T143" s="54"/>
      <c r="U143" s="54" t="s">
        <v>129</v>
      </c>
      <c r="V143" s="54" t="s">
        <v>84</v>
      </c>
      <c r="W143" s="52" t="s">
        <v>112</v>
      </c>
      <c r="X143" s="186" t="s">
        <v>2002</v>
      </c>
      <c r="Y143" s="200" t="s">
        <v>156</v>
      </c>
      <c r="Z143" s="200" t="s">
        <v>156</v>
      </c>
      <c r="AA143" s="200" t="s">
        <v>156</v>
      </c>
      <c r="AB143" s="54" t="s">
        <v>518</v>
      </c>
      <c r="AC143" s="194">
        <v>77372</v>
      </c>
      <c r="AD143" s="194" t="s">
        <v>518</v>
      </c>
      <c r="AE143" s="54"/>
      <c r="AF143" s="617" t="s">
        <v>2003</v>
      </c>
      <c r="AG143" s="456" t="s">
        <v>2004</v>
      </c>
      <c r="AH143" s="54"/>
      <c r="AI143" s="54"/>
      <c r="AJ143" s="186" t="s">
        <v>2005</v>
      </c>
      <c r="AK143" s="245">
        <v>40946</v>
      </c>
      <c r="AL143" s="155" t="str">
        <f ca="1" t="shared" si="27"/>
        <v>13 Tahun 8 Bulan </v>
      </c>
      <c r="AM143" s="186" t="s">
        <v>309</v>
      </c>
      <c r="AN143" s="261" t="s">
        <v>93</v>
      </c>
      <c r="AO143" s="186" t="s">
        <v>2006</v>
      </c>
      <c r="AP143" s="260" t="s">
        <v>838</v>
      </c>
      <c r="AQ143" s="480" t="s">
        <v>2007</v>
      </c>
      <c r="AR143" s="54"/>
      <c r="AS143" s="186"/>
      <c r="AT143" s="54"/>
      <c r="AU143" s="54"/>
      <c r="AV143" s="261" t="s">
        <v>2008</v>
      </c>
      <c r="AW143" s="52" t="s">
        <v>100</v>
      </c>
      <c r="AX143" s="277" t="s">
        <v>120</v>
      </c>
      <c r="AY143" s="278" t="s">
        <v>1918</v>
      </c>
      <c r="AZ143" s="54"/>
      <c r="BA143" s="54"/>
      <c r="BB143" s="54"/>
      <c r="BC143" s="186"/>
      <c r="BD143" s="54"/>
      <c r="BE143" s="54">
        <v>26</v>
      </c>
      <c r="BF143" s="54">
        <v>26</v>
      </c>
      <c r="BG143" s="54"/>
      <c r="BH143" s="281" t="s">
        <v>105</v>
      </c>
      <c r="BI143" s="54" t="s">
        <v>88</v>
      </c>
      <c r="BJ143" s="261" t="s">
        <v>2009</v>
      </c>
      <c r="BK143" s="561" t="s">
        <v>2010</v>
      </c>
    </row>
    <row r="144" customFormat="1" spans="1:63">
      <c r="A144" s="54">
        <v>139</v>
      </c>
      <c r="B144" s="194">
        <v>2716</v>
      </c>
      <c r="C144" s="54" t="s">
        <v>509</v>
      </c>
      <c r="D144" s="52" t="s">
        <v>76</v>
      </c>
      <c r="E144" s="54" t="s">
        <v>1904</v>
      </c>
      <c r="F144" s="54"/>
      <c r="G144" s="12" t="s">
        <v>2011</v>
      </c>
      <c r="H144" s="54" t="s">
        <v>177</v>
      </c>
      <c r="I144" s="102" t="str">
        <f t="shared" si="29"/>
        <v>Susila Ningsih Syamsuri, S.Pd</v>
      </c>
      <c r="J144" s="296" t="s">
        <v>80</v>
      </c>
      <c r="K144" s="102" t="str">
        <f t="shared" si="24"/>
        <v>Perempuan</v>
      </c>
      <c r="L144" s="436" t="s">
        <v>664</v>
      </c>
      <c r="M144" s="278" t="s">
        <v>2012</v>
      </c>
      <c r="N144" s="155" t="str">
        <f ca="1" t="shared" si="30"/>
        <v>35 Tahun 10 Bulan </v>
      </c>
      <c r="O144" s="614" t="s">
        <v>2013</v>
      </c>
      <c r="P144" s="105" t="e">
        <f ca="1" t="shared" si="21"/>
        <v>#VALUE!</v>
      </c>
      <c r="Q144" s="105" t="e">
        <f ca="1" t="shared" si="22"/>
        <v>#VALUE!</v>
      </c>
      <c r="R144" s="560" t="s">
        <v>2014</v>
      </c>
      <c r="S144" s="318"/>
      <c r="T144" s="438" t="s">
        <v>2015</v>
      </c>
      <c r="U144" s="54" t="s">
        <v>83</v>
      </c>
      <c r="V144" s="54" t="s">
        <v>84</v>
      </c>
      <c r="W144" s="52" t="s">
        <v>112</v>
      </c>
      <c r="X144" s="446" t="s">
        <v>2016</v>
      </c>
      <c r="Y144" s="200" t="s">
        <v>156</v>
      </c>
      <c r="Z144" s="200" t="s">
        <v>156</v>
      </c>
      <c r="AA144" s="200" t="s">
        <v>156</v>
      </c>
      <c r="AB144" s="54" t="s">
        <v>518</v>
      </c>
      <c r="AC144" s="194">
        <v>77372</v>
      </c>
      <c r="AD144" s="194" t="s">
        <v>518</v>
      </c>
      <c r="AE144" s="54"/>
      <c r="AF144" s="617" t="s">
        <v>2017</v>
      </c>
      <c r="AG144" s="261" t="s">
        <v>2018</v>
      </c>
      <c r="AH144" s="54"/>
      <c r="AI144" s="54"/>
      <c r="AJ144" s="186" t="s">
        <v>1914</v>
      </c>
      <c r="AK144" s="245">
        <v>40946</v>
      </c>
      <c r="AL144" s="155" t="str">
        <f ca="1" t="shared" si="27"/>
        <v>13 Tahun 8 Bulan </v>
      </c>
      <c r="AM144" s="186" t="s">
        <v>309</v>
      </c>
      <c r="AN144" s="261" t="s">
        <v>93</v>
      </c>
      <c r="AO144" s="186" t="s">
        <v>2019</v>
      </c>
      <c r="AP144" s="260" t="s">
        <v>1659</v>
      </c>
      <c r="AQ144" s="186"/>
      <c r="AR144" s="54"/>
      <c r="AS144" s="186"/>
      <c r="AT144" s="54"/>
      <c r="AU144" s="54"/>
      <c r="AV144" s="481" t="s">
        <v>2020</v>
      </c>
      <c r="AW144" s="52" t="s">
        <v>100</v>
      </c>
      <c r="AX144" s="277" t="s">
        <v>101</v>
      </c>
      <c r="AY144" s="278" t="s">
        <v>620</v>
      </c>
      <c r="AZ144" s="54"/>
      <c r="BA144" s="54"/>
      <c r="BB144" s="54"/>
      <c r="BC144" s="186" t="s">
        <v>2021</v>
      </c>
      <c r="BD144" s="54"/>
      <c r="BE144" s="54"/>
      <c r="BF144" s="54"/>
      <c r="BG144" s="54"/>
      <c r="BH144" s="281" t="s">
        <v>105</v>
      </c>
      <c r="BI144" s="54" t="s">
        <v>88</v>
      </c>
      <c r="BJ144" s="261" t="s">
        <v>2022</v>
      </c>
      <c r="BK144" s="561" t="s">
        <v>2023</v>
      </c>
    </row>
    <row r="145" customFormat="1" spans="1:63">
      <c r="A145" s="54">
        <v>140</v>
      </c>
      <c r="B145" s="194">
        <v>2717</v>
      </c>
      <c r="C145" s="54" t="s">
        <v>509</v>
      </c>
      <c r="D145" s="52" t="s">
        <v>76</v>
      </c>
      <c r="E145" s="54" t="s">
        <v>1904</v>
      </c>
      <c r="F145" s="54"/>
      <c r="G145" s="12" t="s">
        <v>2024</v>
      </c>
      <c r="H145" s="54" t="s">
        <v>2025</v>
      </c>
      <c r="I145" s="102" t="str">
        <f t="shared" si="29"/>
        <v>Yohanes Baleleng, S.Ag</v>
      </c>
      <c r="J145" s="296" t="s">
        <v>127</v>
      </c>
      <c r="K145" s="102" t="str">
        <f t="shared" si="24"/>
        <v>Laki-laki</v>
      </c>
      <c r="L145" s="436" t="s">
        <v>2026</v>
      </c>
      <c r="M145" s="39" t="s">
        <v>2027</v>
      </c>
      <c r="N145" s="155" t="str">
        <f ca="1" t="shared" si="30"/>
        <v>52 Tahun 2 Bulan </v>
      </c>
      <c r="O145" s="614" t="s">
        <v>2028</v>
      </c>
      <c r="P145" s="105">
        <f ca="1" t="shared" si="21"/>
        <v>52</v>
      </c>
      <c r="Q145" s="105" t="str">
        <f ca="1" t="shared" si="22"/>
        <v>OKE</v>
      </c>
      <c r="R145" s="560" t="s">
        <v>2029</v>
      </c>
      <c r="S145" s="318"/>
      <c r="T145" s="278" t="s">
        <v>2030</v>
      </c>
      <c r="U145" s="54" t="s">
        <v>83</v>
      </c>
      <c r="V145" s="54" t="s">
        <v>84</v>
      </c>
      <c r="W145" s="52" t="s">
        <v>516</v>
      </c>
      <c r="X145" s="186" t="s">
        <v>2031</v>
      </c>
      <c r="Y145" s="200" t="s">
        <v>156</v>
      </c>
      <c r="Z145" s="200" t="s">
        <v>156</v>
      </c>
      <c r="AA145" s="200" t="s">
        <v>156</v>
      </c>
      <c r="AB145" s="54" t="s">
        <v>518</v>
      </c>
      <c r="AC145" s="194">
        <v>77372</v>
      </c>
      <c r="AD145" s="194" t="s">
        <v>518</v>
      </c>
      <c r="AE145" s="54"/>
      <c r="AF145" s="617" t="s">
        <v>2032</v>
      </c>
      <c r="AG145" s="261" t="s">
        <v>2033</v>
      </c>
      <c r="AH145" s="54"/>
      <c r="AI145" s="54"/>
      <c r="AJ145" s="186" t="s">
        <v>2034</v>
      </c>
      <c r="AK145" s="245">
        <v>37987</v>
      </c>
      <c r="AL145" s="155" t="str">
        <f ca="1" t="shared" si="27"/>
        <v>21 Tahun 10 Bulan </v>
      </c>
      <c r="AM145" s="186" t="s">
        <v>309</v>
      </c>
      <c r="AN145" s="261" t="s">
        <v>93</v>
      </c>
      <c r="AO145" s="186" t="s">
        <v>2035</v>
      </c>
      <c r="AP145" s="260" t="s">
        <v>838</v>
      </c>
      <c r="AQ145" s="186" t="s">
        <v>2036</v>
      </c>
      <c r="AR145" s="54"/>
      <c r="AS145" s="186"/>
      <c r="AT145" s="54"/>
      <c r="AU145" s="54"/>
      <c r="AV145" s="619" t="s">
        <v>2037</v>
      </c>
      <c r="AW145" s="52" t="s">
        <v>100</v>
      </c>
      <c r="AX145" s="277" t="s">
        <v>101</v>
      </c>
      <c r="AY145" s="278" t="s">
        <v>2038</v>
      </c>
      <c r="AZ145" s="54"/>
      <c r="BA145" s="54"/>
      <c r="BB145" s="54" t="s">
        <v>2039</v>
      </c>
      <c r="BC145" s="186" t="s">
        <v>2040</v>
      </c>
      <c r="BD145" s="54"/>
      <c r="BE145" s="54"/>
      <c r="BF145" s="54"/>
      <c r="BG145" s="54"/>
      <c r="BH145" s="281" t="s">
        <v>105</v>
      </c>
      <c r="BI145" s="54" t="s">
        <v>88</v>
      </c>
      <c r="BJ145" s="261" t="s">
        <v>2041</v>
      </c>
      <c r="BK145" s="561" t="s">
        <v>2042</v>
      </c>
    </row>
    <row r="146" s="294" customFormat="1" spans="1:64">
      <c r="A146" s="54">
        <v>141</v>
      </c>
      <c r="B146" s="620" t="s">
        <v>2043</v>
      </c>
      <c r="C146" s="434" t="s">
        <v>509</v>
      </c>
      <c r="D146" s="434" t="s">
        <v>2044</v>
      </c>
      <c r="E146" s="434" t="s">
        <v>2045</v>
      </c>
      <c r="F146" s="433"/>
      <c r="G146" s="434" t="s">
        <v>2046</v>
      </c>
      <c r="H146" s="434" t="s">
        <v>2047</v>
      </c>
      <c r="I146" s="434" t="str">
        <f t="shared" si="29"/>
        <v>Marwan Toni, S.Hut., M.Pd</v>
      </c>
      <c r="J146" s="434" t="s">
        <v>127</v>
      </c>
      <c r="K146" s="434" t="str">
        <f t="shared" si="24"/>
        <v>Laki-laki</v>
      </c>
      <c r="L146" s="434" t="s">
        <v>209</v>
      </c>
      <c r="M146" s="621" t="s">
        <v>2048</v>
      </c>
      <c r="N146" s="440" t="str">
        <f ca="1" t="shared" si="30"/>
        <v>49 Tahun 5 Bulan </v>
      </c>
      <c r="O146" s="441" t="str">
        <f t="shared" ref="O146:O166" si="31">TEXT(M146,"DD MMMM YYYY")</f>
        <v>14 May 1976</v>
      </c>
      <c r="P146" s="434">
        <f ca="1" t="shared" si="21"/>
        <v>49</v>
      </c>
      <c r="Q146" s="434" t="str">
        <f ca="1" t="shared" si="22"/>
        <v>OKE</v>
      </c>
      <c r="R146" s="621" t="s">
        <v>2049</v>
      </c>
      <c r="S146" s="433"/>
      <c r="T146" s="620" t="s">
        <v>2050</v>
      </c>
      <c r="U146" s="434" t="s">
        <v>83</v>
      </c>
      <c r="V146" s="349" t="s">
        <v>84</v>
      </c>
      <c r="W146" s="434" t="s">
        <v>112</v>
      </c>
      <c r="X146" s="433" t="s">
        <v>2051</v>
      </c>
      <c r="Y146" s="433">
        <v>9</v>
      </c>
      <c r="Z146" s="433"/>
      <c r="AA146" s="433"/>
      <c r="AB146" s="434" t="s">
        <v>2052</v>
      </c>
      <c r="AC146" s="621" t="s">
        <v>2053</v>
      </c>
      <c r="AD146" s="434" t="s">
        <v>664</v>
      </c>
      <c r="AE146" s="433"/>
      <c r="AF146" s="621" t="s">
        <v>2054</v>
      </c>
      <c r="AG146" s="458" t="s">
        <v>2055</v>
      </c>
      <c r="AH146" s="433"/>
      <c r="AI146" s="433"/>
      <c r="AJ146" s="620" t="s">
        <v>2056</v>
      </c>
      <c r="AK146" s="622" t="s">
        <v>2057</v>
      </c>
      <c r="AL146" s="115" t="str">
        <f ca="1" t="shared" si="27"/>
        <v>16 Tahun 7 Bulan </v>
      </c>
      <c r="AM146" s="434" t="s">
        <v>92</v>
      </c>
      <c r="AN146" s="434" t="s">
        <v>93</v>
      </c>
      <c r="AO146" s="434" t="s">
        <v>2058</v>
      </c>
      <c r="AP146" s="439" t="s">
        <v>838</v>
      </c>
      <c r="AQ146" s="434" t="s">
        <v>2059</v>
      </c>
      <c r="AR146" s="433"/>
      <c r="AS146" s="434" t="s">
        <v>98</v>
      </c>
      <c r="AT146" s="433"/>
      <c r="AU146" s="434"/>
      <c r="AV146" s="623" t="s">
        <v>2060</v>
      </c>
      <c r="AW146" s="434" t="s">
        <v>100</v>
      </c>
      <c r="AX146" s="434" t="s">
        <v>717</v>
      </c>
      <c r="AY146" s="434" t="s">
        <v>1195</v>
      </c>
      <c r="AZ146" s="433"/>
      <c r="BA146" s="433"/>
      <c r="BB146" s="434"/>
      <c r="BC146" s="433" t="s">
        <v>456</v>
      </c>
      <c r="BD146" s="483"/>
      <c r="BE146" s="483">
        <v>16</v>
      </c>
      <c r="BF146" s="483">
        <f t="shared" ref="BF146:BF166" si="32">BE146+BD146</f>
        <v>16</v>
      </c>
      <c r="BG146" s="349" t="s">
        <v>1195</v>
      </c>
      <c r="BH146" s="433" t="s">
        <v>105</v>
      </c>
      <c r="BI146" s="434" t="s">
        <v>88</v>
      </c>
      <c r="BJ146" s="433" t="s">
        <v>2046</v>
      </c>
      <c r="BK146" s="621" t="s">
        <v>2061</v>
      </c>
      <c r="BL146" s="498"/>
    </row>
    <row r="147" s="294" customFormat="1" spans="1:64">
      <c r="A147" s="54">
        <v>142</v>
      </c>
      <c r="B147" s="620" t="s">
        <v>2062</v>
      </c>
      <c r="C147" s="434" t="s">
        <v>509</v>
      </c>
      <c r="D147" s="434" t="s">
        <v>2044</v>
      </c>
      <c r="E147" s="434" t="s">
        <v>2045</v>
      </c>
      <c r="F147" s="433"/>
      <c r="G147" s="434" t="s">
        <v>2063</v>
      </c>
      <c r="H147" s="434" t="s">
        <v>2064</v>
      </c>
      <c r="I147" s="434" t="str">
        <f t="shared" si="29"/>
        <v>Diana Rita, S.Pdk</v>
      </c>
      <c r="J147" s="434" t="s">
        <v>80</v>
      </c>
      <c r="K147" s="434" t="str">
        <f t="shared" si="24"/>
        <v>Perempuan</v>
      </c>
      <c r="L147" s="434" t="s">
        <v>2065</v>
      </c>
      <c r="M147" s="621" t="s">
        <v>2066</v>
      </c>
      <c r="N147" s="440" t="str">
        <f ca="1" t="shared" si="30"/>
        <v>41 Tahun 3 Bulan </v>
      </c>
      <c r="O147" s="441" t="str">
        <f t="shared" si="31"/>
        <v>17 July 1984</v>
      </c>
      <c r="P147" s="434">
        <f ca="1" t="shared" ref="P147:P210" si="33">+DATEDIF(O147,NOW(),"Y")</f>
        <v>41</v>
      </c>
      <c r="Q147" s="434" t="str">
        <f ca="1" t="shared" ref="Q147:Q210" si="34">IF(P147&gt;56,"Lewat","OKE")</f>
        <v>OKE</v>
      </c>
      <c r="R147" s="621" t="s">
        <v>2067</v>
      </c>
      <c r="S147" s="433"/>
      <c r="T147" s="433"/>
      <c r="U147" s="434" t="s">
        <v>83</v>
      </c>
      <c r="V147" s="349" t="s">
        <v>84</v>
      </c>
      <c r="W147" s="434" t="s">
        <v>337</v>
      </c>
      <c r="X147" s="433" t="s">
        <v>2068</v>
      </c>
      <c r="Y147" s="433">
        <v>3</v>
      </c>
      <c r="Z147" s="433"/>
      <c r="AA147" s="433"/>
      <c r="AB147" s="434" t="s">
        <v>762</v>
      </c>
      <c r="AC147" s="621" t="s">
        <v>2069</v>
      </c>
      <c r="AD147" s="434" t="s">
        <v>664</v>
      </c>
      <c r="AE147" s="433"/>
      <c r="AF147" s="621" t="s">
        <v>2070</v>
      </c>
      <c r="AG147" s="459" t="s">
        <v>2071</v>
      </c>
      <c r="AH147" s="433"/>
      <c r="AI147" s="433"/>
      <c r="AJ147" s="620" t="s">
        <v>2072</v>
      </c>
      <c r="AK147" s="622" t="s">
        <v>2073</v>
      </c>
      <c r="AL147" s="115" t="str">
        <f ca="1" t="shared" si="27"/>
        <v>12 Tahun 3 Bulan </v>
      </c>
      <c r="AM147" s="434" t="s">
        <v>92</v>
      </c>
      <c r="AN147" s="434" t="s">
        <v>93</v>
      </c>
      <c r="AO147" s="434" t="s">
        <v>2074</v>
      </c>
      <c r="AP147" s="439" t="s">
        <v>838</v>
      </c>
      <c r="AQ147" s="434" t="s">
        <v>2075</v>
      </c>
      <c r="AR147" s="433"/>
      <c r="AS147" s="434" t="s">
        <v>2076</v>
      </c>
      <c r="AT147" s="433"/>
      <c r="AU147" s="434"/>
      <c r="AV147" s="623" t="s">
        <v>2077</v>
      </c>
      <c r="AW147" s="434" t="s">
        <v>100</v>
      </c>
      <c r="AX147" s="434" t="s">
        <v>101</v>
      </c>
      <c r="AY147" s="12" t="s">
        <v>430</v>
      </c>
      <c r="AZ147" s="433"/>
      <c r="BA147" s="433"/>
      <c r="BB147" s="434" t="s">
        <v>346</v>
      </c>
      <c r="BC147" s="433" t="s">
        <v>2078</v>
      </c>
      <c r="BD147" s="483">
        <v>5</v>
      </c>
      <c r="BE147" s="483">
        <v>19</v>
      </c>
      <c r="BF147" s="483">
        <f t="shared" si="32"/>
        <v>24</v>
      </c>
      <c r="BG147" s="349" t="s">
        <v>430</v>
      </c>
      <c r="BH147" s="433" t="s">
        <v>2079</v>
      </c>
      <c r="BI147" s="434" t="s">
        <v>88</v>
      </c>
      <c r="BJ147" s="433" t="s">
        <v>2063</v>
      </c>
      <c r="BK147" s="621" t="s">
        <v>2080</v>
      </c>
      <c r="BL147" s="498"/>
    </row>
    <row r="148" s="294" customFormat="1" spans="1:64">
      <c r="A148" s="54">
        <v>143</v>
      </c>
      <c r="B148" s="620" t="s">
        <v>2081</v>
      </c>
      <c r="C148" s="434" t="s">
        <v>509</v>
      </c>
      <c r="D148" s="434" t="s">
        <v>2044</v>
      </c>
      <c r="E148" s="434" t="s">
        <v>2045</v>
      </c>
      <c r="F148" s="433"/>
      <c r="G148" s="434" t="s">
        <v>2082</v>
      </c>
      <c r="H148" s="434" t="s">
        <v>177</v>
      </c>
      <c r="I148" s="434" t="str">
        <f t="shared" si="29"/>
        <v>Didi Kurniawan, S.Pd</v>
      </c>
      <c r="J148" s="434" t="s">
        <v>127</v>
      </c>
      <c r="K148" s="434" t="str">
        <f t="shared" si="24"/>
        <v>Laki-laki</v>
      </c>
      <c r="L148" s="434" t="s">
        <v>2083</v>
      </c>
      <c r="M148" s="621" t="s">
        <v>2084</v>
      </c>
      <c r="N148" s="440" t="str">
        <f ca="1" t="shared" si="30"/>
        <v>38 Tahun 6 Bulan </v>
      </c>
      <c r="O148" s="441" t="str">
        <f t="shared" si="31"/>
        <v>30 April 1987</v>
      </c>
      <c r="P148" s="434">
        <f ca="1" t="shared" si="33"/>
        <v>38</v>
      </c>
      <c r="Q148" s="434" t="str">
        <f ca="1" t="shared" si="34"/>
        <v>OKE</v>
      </c>
      <c r="R148" s="621" t="s">
        <v>2085</v>
      </c>
      <c r="S148" s="433"/>
      <c r="T148" s="620" t="s">
        <v>2086</v>
      </c>
      <c r="U148" s="434" t="s">
        <v>83</v>
      </c>
      <c r="V148" s="349" t="s">
        <v>84</v>
      </c>
      <c r="W148" s="434" t="s">
        <v>112</v>
      </c>
      <c r="X148" s="433" t="s">
        <v>2087</v>
      </c>
      <c r="Y148" s="433">
        <v>1</v>
      </c>
      <c r="Z148" s="433"/>
      <c r="AA148" s="433"/>
      <c r="AB148" s="434" t="s">
        <v>762</v>
      </c>
      <c r="AC148" s="621" t="s">
        <v>2069</v>
      </c>
      <c r="AD148" s="434" t="s">
        <v>664</v>
      </c>
      <c r="AE148" s="433"/>
      <c r="AF148" s="621" t="s">
        <v>2088</v>
      </c>
      <c r="AG148" s="433" t="s">
        <v>2089</v>
      </c>
      <c r="AH148" s="433"/>
      <c r="AI148" s="433"/>
      <c r="AJ148" s="620" t="s">
        <v>2090</v>
      </c>
      <c r="AK148" s="622" t="s">
        <v>2091</v>
      </c>
      <c r="AL148" s="115" t="str">
        <f ca="1" t="shared" si="27"/>
        <v>16 Tahun 0 Bulan </v>
      </c>
      <c r="AM148" s="434" t="s">
        <v>92</v>
      </c>
      <c r="AN148" s="434" t="s">
        <v>93</v>
      </c>
      <c r="AO148" s="434" t="s">
        <v>2092</v>
      </c>
      <c r="AP148" s="439" t="s">
        <v>838</v>
      </c>
      <c r="AQ148" s="434" t="s">
        <v>2093</v>
      </c>
      <c r="AR148" s="433"/>
      <c r="AS148" s="434" t="s">
        <v>2094</v>
      </c>
      <c r="AT148" s="433"/>
      <c r="AU148" s="434"/>
      <c r="AV148" s="623" t="s">
        <v>2095</v>
      </c>
      <c r="AW148" s="434" t="s">
        <v>100</v>
      </c>
      <c r="AX148" s="434" t="s">
        <v>101</v>
      </c>
      <c r="AY148" s="12" t="s">
        <v>345</v>
      </c>
      <c r="AZ148" s="433"/>
      <c r="BA148" s="433"/>
      <c r="BB148" s="434"/>
      <c r="BC148" s="433" t="s">
        <v>2096</v>
      </c>
      <c r="BD148" s="483">
        <v>7</v>
      </c>
      <c r="BE148" s="483">
        <v>19</v>
      </c>
      <c r="BF148" s="483">
        <f t="shared" si="32"/>
        <v>26</v>
      </c>
      <c r="BG148" s="349" t="s">
        <v>345</v>
      </c>
      <c r="BH148" s="433" t="s">
        <v>105</v>
      </c>
      <c r="BI148" s="434" t="s">
        <v>88</v>
      </c>
      <c r="BJ148" s="433" t="s">
        <v>2082</v>
      </c>
      <c r="BK148" s="621" t="s">
        <v>2097</v>
      </c>
      <c r="BL148" s="498"/>
    </row>
    <row r="149" s="294" customFormat="1" spans="1:64">
      <c r="A149" s="54">
        <v>144</v>
      </c>
      <c r="B149" s="620" t="s">
        <v>2098</v>
      </c>
      <c r="C149" s="434" t="s">
        <v>509</v>
      </c>
      <c r="D149" s="434" t="s">
        <v>2044</v>
      </c>
      <c r="E149" s="434" t="s">
        <v>2045</v>
      </c>
      <c r="F149" s="433"/>
      <c r="G149" s="434" t="s">
        <v>2099</v>
      </c>
      <c r="H149" s="434" t="s">
        <v>177</v>
      </c>
      <c r="I149" s="434" t="str">
        <f t="shared" si="29"/>
        <v>Edi Setiawan, S.Pd</v>
      </c>
      <c r="J149" s="434" t="s">
        <v>127</v>
      </c>
      <c r="K149" s="434" t="str">
        <f t="shared" ref="K149:K184" si="35">IF(J149="P","Perempuan",IF(J149="L","Laki-laki"))</f>
        <v>Laki-laki</v>
      </c>
      <c r="L149" s="434" t="s">
        <v>1232</v>
      </c>
      <c r="M149" s="621" t="s">
        <v>2100</v>
      </c>
      <c r="N149" s="440" t="str">
        <f ca="1" t="shared" si="30"/>
        <v>36 Tahun 3 Bulan </v>
      </c>
      <c r="O149" s="441" t="str">
        <f t="shared" si="31"/>
        <v>01 August 1989</v>
      </c>
      <c r="P149" s="434">
        <f ca="1" t="shared" si="33"/>
        <v>36</v>
      </c>
      <c r="Q149" s="434" t="str">
        <f ca="1" t="shared" si="34"/>
        <v>OKE</v>
      </c>
      <c r="R149" s="621" t="s">
        <v>2101</v>
      </c>
      <c r="S149" s="433"/>
      <c r="T149" s="433"/>
      <c r="U149" s="434" t="s">
        <v>83</v>
      </c>
      <c r="V149" s="349" t="s">
        <v>84</v>
      </c>
      <c r="W149" s="434" t="s">
        <v>112</v>
      </c>
      <c r="X149" s="433" t="s">
        <v>2102</v>
      </c>
      <c r="Y149" s="433">
        <v>14</v>
      </c>
      <c r="Z149" s="433"/>
      <c r="AA149" s="433"/>
      <c r="AB149" s="434" t="s">
        <v>544</v>
      </c>
      <c r="AC149" s="621" t="s">
        <v>2103</v>
      </c>
      <c r="AD149" s="434" t="s">
        <v>544</v>
      </c>
      <c r="AE149" s="433"/>
      <c r="AF149" s="621" t="s">
        <v>2104</v>
      </c>
      <c r="AG149" s="433" t="s">
        <v>2105</v>
      </c>
      <c r="AH149" s="433"/>
      <c r="AI149" s="433"/>
      <c r="AJ149" s="620" t="s">
        <v>2106</v>
      </c>
      <c r="AK149" s="622" t="s">
        <v>135</v>
      </c>
      <c r="AL149" s="115" t="str">
        <f ca="1" t="shared" si="27"/>
        <v>13 Tahun 10 Bulan </v>
      </c>
      <c r="AM149" s="434" t="s">
        <v>92</v>
      </c>
      <c r="AN149" s="434" t="s">
        <v>93</v>
      </c>
      <c r="AO149" s="434" t="s">
        <v>2107</v>
      </c>
      <c r="AP149" s="439" t="s">
        <v>838</v>
      </c>
      <c r="AQ149" s="434" t="s">
        <v>2108</v>
      </c>
      <c r="AR149" s="433"/>
      <c r="AS149" s="434" t="s">
        <v>2109</v>
      </c>
      <c r="AT149" s="433"/>
      <c r="AU149" s="434"/>
      <c r="AV149" s="623" t="s">
        <v>2110</v>
      </c>
      <c r="AW149" s="434" t="s">
        <v>100</v>
      </c>
      <c r="AX149" s="434" t="s">
        <v>101</v>
      </c>
      <c r="AY149" s="12" t="s">
        <v>2111</v>
      </c>
      <c r="AZ149" s="433"/>
      <c r="BA149" s="433"/>
      <c r="BB149" s="434" t="s">
        <v>2112</v>
      </c>
      <c r="BC149" s="433" t="s">
        <v>1214</v>
      </c>
      <c r="BD149" s="483">
        <v>15</v>
      </c>
      <c r="BE149" s="483">
        <v>16</v>
      </c>
      <c r="BF149" s="483">
        <f t="shared" si="32"/>
        <v>31</v>
      </c>
      <c r="BG149" s="349" t="s">
        <v>2111</v>
      </c>
      <c r="BH149" s="433" t="s">
        <v>2079</v>
      </c>
      <c r="BI149" s="434" t="s">
        <v>88</v>
      </c>
      <c r="BJ149" s="433" t="s">
        <v>2113</v>
      </c>
      <c r="BK149" s="621" t="s">
        <v>2114</v>
      </c>
      <c r="BL149" s="498"/>
    </row>
    <row r="150" s="294" customFormat="1" spans="1:64">
      <c r="A150" s="54">
        <v>145</v>
      </c>
      <c r="B150" s="620" t="s">
        <v>2115</v>
      </c>
      <c r="C150" s="434" t="s">
        <v>509</v>
      </c>
      <c r="D150" s="434" t="s">
        <v>2044</v>
      </c>
      <c r="E150" s="434" t="s">
        <v>2045</v>
      </c>
      <c r="F150" s="433"/>
      <c r="G150" s="434" t="s">
        <v>2116</v>
      </c>
      <c r="H150" s="434" t="s">
        <v>177</v>
      </c>
      <c r="I150" s="434" t="str">
        <f t="shared" si="29"/>
        <v>Fualimin, S.Pd</v>
      </c>
      <c r="J150" s="434" t="s">
        <v>127</v>
      </c>
      <c r="K150" s="434" t="str">
        <f t="shared" si="35"/>
        <v>Laki-laki</v>
      </c>
      <c r="L150" s="434" t="s">
        <v>2117</v>
      </c>
      <c r="M150" s="621" t="s">
        <v>2118</v>
      </c>
      <c r="N150" s="440" t="str">
        <f ca="1" t="shared" si="30"/>
        <v>37 Tahun 6 Bulan </v>
      </c>
      <c r="O150" s="441" t="str">
        <f t="shared" si="31"/>
        <v>04 May 1988</v>
      </c>
      <c r="P150" s="434">
        <f ca="1" t="shared" si="33"/>
        <v>37</v>
      </c>
      <c r="Q150" s="434" t="str">
        <f ca="1" t="shared" si="34"/>
        <v>OKE</v>
      </c>
      <c r="R150" s="621" t="s">
        <v>2119</v>
      </c>
      <c r="S150" s="433"/>
      <c r="T150" s="433"/>
      <c r="U150" s="434" t="s">
        <v>83</v>
      </c>
      <c r="V150" s="349" t="s">
        <v>84</v>
      </c>
      <c r="W150" s="434" t="s">
        <v>112</v>
      </c>
      <c r="X150" s="433" t="s">
        <v>2120</v>
      </c>
      <c r="Y150" s="433">
        <v>15</v>
      </c>
      <c r="Z150" s="433"/>
      <c r="AA150" s="433"/>
      <c r="AB150" s="434" t="s">
        <v>544</v>
      </c>
      <c r="AC150" s="621" t="s">
        <v>2103</v>
      </c>
      <c r="AD150" s="434" t="s">
        <v>544</v>
      </c>
      <c r="AE150" s="433"/>
      <c r="AF150" s="621" t="s">
        <v>2121</v>
      </c>
      <c r="AG150" s="433" t="s">
        <v>2122</v>
      </c>
      <c r="AH150" s="433"/>
      <c r="AI150" s="433"/>
      <c r="AJ150" s="433" t="s">
        <v>2123</v>
      </c>
      <c r="AK150" s="622" t="s">
        <v>152</v>
      </c>
      <c r="AL150" s="115" t="str">
        <f ca="1" t="shared" si="27"/>
        <v>12 Tahun 10 Bulan </v>
      </c>
      <c r="AM150" s="434" t="s">
        <v>92</v>
      </c>
      <c r="AN150" s="434" t="s">
        <v>93</v>
      </c>
      <c r="AO150" s="434" t="s">
        <v>2124</v>
      </c>
      <c r="AP150" s="439" t="s">
        <v>838</v>
      </c>
      <c r="AQ150" s="434" t="s">
        <v>2125</v>
      </c>
      <c r="AR150" s="433"/>
      <c r="AS150" s="434" t="s">
        <v>2094</v>
      </c>
      <c r="AT150" s="433"/>
      <c r="AU150" s="434"/>
      <c r="AV150" s="623" t="s">
        <v>2126</v>
      </c>
      <c r="AW150" s="434" t="s">
        <v>100</v>
      </c>
      <c r="AX150" s="434" t="s">
        <v>101</v>
      </c>
      <c r="AY150" s="12" t="s">
        <v>1034</v>
      </c>
      <c r="AZ150" s="433"/>
      <c r="BA150" s="433"/>
      <c r="BB150" s="489" t="s">
        <v>2127</v>
      </c>
      <c r="BC150" s="433" t="s">
        <v>1034</v>
      </c>
      <c r="BD150" s="483">
        <v>23</v>
      </c>
      <c r="BE150" s="483">
        <v>12</v>
      </c>
      <c r="BF150" s="483">
        <f t="shared" si="32"/>
        <v>35</v>
      </c>
      <c r="BG150" s="349" t="s">
        <v>1034</v>
      </c>
      <c r="BH150" s="433" t="s">
        <v>2079</v>
      </c>
      <c r="BI150" s="434" t="s">
        <v>88</v>
      </c>
      <c r="BJ150" s="433" t="s">
        <v>2116</v>
      </c>
      <c r="BK150" s="621" t="s">
        <v>2128</v>
      </c>
      <c r="BL150" s="498"/>
    </row>
    <row r="151" s="294" customFormat="1" spans="1:64">
      <c r="A151" s="54">
        <v>146</v>
      </c>
      <c r="B151" s="620" t="s">
        <v>2129</v>
      </c>
      <c r="C151" s="434" t="s">
        <v>509</v>
      </c>
      <c r="D151" s="434" t="s">
        <v>2044</v>
      </c>
      <c r="E151" s="434" t="s">
        <v>2045</v>
      </c>
      <c r="F151" s="433"/>
      <c r="G151" s="434" t="s">
        <v>2130</v>
      </c>
      <c r="H151" s="434" t="s">
        <v>177</v>
      </c>
      <c r="I151" s="434" t="str">
        <f t="shared" si="29"/>
        <v>Haryono, S.Pd</v>
      </c>
      <c r="J151" s="434" t="s">
        <v>127</v>
      </c>
      <c r="K151" s="434" t="str">
        <f t="shared" si="35"/>
        <v>Laki-laki</v>
      </c>
      <c r="L151" s="434" t="s">
        <v>2131</v>
      </c>
      <c r="M151" s="621" t="s">
        <v>2132</v>
      </c>
      <c r="N151" s="440" t="str">
        <f ca="1" t="shared" si="30"/>
        <v>36 Tahun 5 Bulan </v>
      </c>
      <c r="O151" s="441" t="str">
        <f t="shared" si="31"/>
        <v>21 May 1989</v>
      </c>
      <c r="P151" s="434">
        <f ca="1" t="shared" si="33"/>
        <v>36</v>
      </c>
      <c r="Q151" s="434" t="str">
        <f ca="1" t="shared" si="34"/>
        <v>OKE</v>
      </c>
      <c r="R151" s="621" t="s">
        <v>2133</v>
      </c>
      <c r="S151" s="433"/>
      <c r="T151" s="433"/>
      <c r="U151" s="434" t="s">
        <v>83</v>
      </c>
      <c r="V151" s="349" t="s">
        <v>84</v>
      </c>
      <c r="W151" s="434" t="s">
        <v>112</v>
      </c>
      <c r="X151" s="433" t="s">
        <v>2134</v>
      </c>
      <c r="Y151" s="433">
        <v>14</v>
      </c>
      <c r="Z151" s="433"/>
      <c r="AA151" s="433"/>
      <c r="AB151" s="434" t="s">
        <v>710</v>
      </c>
      <c r="AC151" s="621" t="s">
        <v>2069</v>
      </c>
      <c r="AD151" s="434" t="s">
        <v>664</v>
      </c>
      <c r="AE151" s="433"/>
      <c r="AF151" s="621" t="s">
        <v>2135</v>
      </c>
      <c r="AG151" s="208" t="s">
        <v>2136</v>
      </c>
      <c r="AH151" s="433"/>
      <c r="AI151" s="433"/>
      <c r="AJ151" s="433" t="s">
        <v>2137</v>
      </c>
      <c r="AK151" s="622" t="s">
        <v>2138</v>
      </c>
      <c r="AL151" s="115" t="str">
        <f ca="1" t="shared" si="27"/>
        <v>11 Tahun 3 Bulan </v>
      </c>
      <c r="AM151" s="434" t="s">
        <v>2139</v>
      </c>
      <c r="AN151" s="434" t="s">
        <v>93</v>
      </c>
      <c r="AO151" s="434" t="s">
        <v>2140</v>
      </c>
      <c r="AP151" s="439" t="s">
        <v>1659</v>
      </c>
      <c r="AQ151" s="434"/>
      <c r="AR151" s="433"/>
      <c r="AS151" s="434"/>
      <c r="AT151" s="433"/>
      <c r="AU151" s="434"/>
      <c r="AV151" s="623" t="s">
        <v>2141</v>
      </c>
      <c r="AW151" s="434" t="s">
        <v>100</v>
      </c>
      <c r="AX151" s="434" t="s">
        <v>101</v>
      </c>
      <c r="AY151" s="12" t="s">
        <v>416</v>
      </c>
      <c r="AZ151" s="433"/>
      <c r="BA151" s="433"/>
      <c r="BB151" s="434" t="s">
        <v>346</v>
      </c>
      <c r="BC151" s="433" t="s">
        <v>416</v>
      </c>
      <c r="BD151" s="483">
        <v>9</v>
      </c>
      <c r="BE151" s="483">
        <v>16</v>
      </c>
      <c r="BF151" s="483">
        <f t="shared" si="32"/>
        <v>25</v>
      </c>
      <c r="BG151" s="349" t="s">
        <v>416</v>
      </c>
      <c r="BH151" s="433" t="s">
        <v>105</v>
      </c>
      <c r="BI151" s="434" t="s">
        <v>88</v>
      </c>
      <c r="BJ151" s="433" t="s">
        <v>2130</v>
      </c>
      <c r="BK151" s="621" t="s">
        <v>2142</v>
      </c>
      <c r="BL151" s="498"/>
    </row>
    <row r="152" s="294" customFormat="1" spans="1:64">
      <c r="A152" s="54">
        <v>147</v>
      </c>
      <c r="B152" s="620" t="s">
        <v>2143</v>
      </c>
      <c r="C152" s="434" t="s">
        <v>509</v>
      </c>
      <c r="D152" s="434" t="s">
        <v>2044</v>
      </c>
      <c r="E152" s="434" t="s">
        <v>2045</v>
      </c>
      <c r="F152" s="433"/>
      <c r="G152" s="434" t="s">
        <v>2144</v>
      </c>
      <c r="H152" s="434" t="s">
        <v>1328</v>
      </c>
      <c r="I152" s="434" t="str">
        <f t="shared" si="29"/>
        <v>Ida Yulianti, S.Pd.I</v>
      </c>
      <c r="J152" s="434" t="s">
        <v>80</v>
      </c>
      <c r="K152" s="434" t="str">
        <f t="shared" si="35"/>
        <v>Perempuan</v>
      </c>
      <c r="L152" s="434" t="s">
        <v>450</v>
      </c>
      <c r="M152" s="621" t="s">
        <v>2145</v>
      </c>
      <c r="N152" s="440" t="str">
        <f ca="1" t="shared" si="30"/>
        <v>36 Tahun 7 Bulan </v>
      </c>
      <c r="O152" s="441" t="str">
        <f t="shared" si="31"/>
        <v>27 March 1989</v>
      </c>
      <c r="P152" s="434">
        <f ca="1" t="shared" si="33"/>
        <v>36</v>
      </c>
      <c r="Q152" s="434" t="str">
        <f ca="1" t="shared" si="34"/>
        <v>OKE</v>
      </c>
      <c r="R152" s="621" t="s">
        <v>2146</v>
      </c>
      <c r="S152" s="433"/>
      <c r="T152" s="433"/>
      <c r="U152" s="434" t="s">
        <v>83</v>
      </c>
      <c r="V152" s="349" t="s">
        <v>84</v>
      </c>
      <c r="W152" s="434" t="s">
        <v>112</v>
      </c>
      <c r="X152" s="433" t="s">
        <v>2147</v>
      </c>
      <c r="Y152" s="433">
        <v>12</v>
      </c>
      <c r="Z152" s="433"/>
      <c r="AA152" s="433"/>
      <c r="AB152" s="434" t="s">
        <v>544</v>
      </c>
      <c r="AC152" s="439">
        <v>77371</v>
      </c>
      <c r="AD152" s="434" t="s">
        <v>544</v>
      </c>
      <c r="AE152" s="433"/>
      <c r="AF152" s="621" t="s">
        <v>2148</v>
      </c>
      <c r="AG152" s="208" t="s">
        <v>2149</v>
      </c>
      <c r="AH152" s="433"/>
      <c r="AI152" s="433"/>
      <c r="AJ152" s="433" t="s">
        <v>2150</v>
      </c>
      <c r="AK152" s="460">
        <v>39630</v>
      </c>
      <c r="AL152" s="115" t="str">
        <f ca="1" t="shared" si="27"/>
        <v>17 Tahun 4 Bulan </v>
      </c>
      <c r="AM152" s="434" t="s">
        <v>2151</v>
      </c>
      <c r="AN152" s="434" t="s">
        <v>93</v>
      </c>
      <c r="AO152" s="434" t="s">
        <v>2152</v>
      </c>
      <c r="AP152" s="439" t="s">
        <v>838</v>
      </c>
      <c r="AQ152" s="434" t="s">
        <v>2153</v>
      </c>
      <c r="AR152" s="433"/>
      <c r="AS152" s="434" t="s">
        <v>2076</v>
      </c>
      <c r="AT152" s="433"/>
      <c r="AU152" s="434"/>
      <c r="AV152" s="623" t="s">
        <v>2154</v>
      </c>
      <c r="AW152" s="434" t="s">
        <v>100</v>
      </c>
      <c r="AX152" s="434" t="s">
        <v>101</v>
      </c>
      <c r="AY152" s="12" t="s">
        <v>330</v>
      </c>
      <c r="AZ152" s="433"/>
      <c r="BA152" s="433"/>
      <c r="BB152" s="434" t="s">
        <v>346</v>
      </c>
      <c r="BC152" s="433" t="s">
        <v>330</v>
      </c>
      <c r="BD152" s="483">
        <v>5</v>
      </c>
      <c r="BE152" s="483">
        <v>26</v>
      </c>
      <c r="BF152" s="483">
        <f t="shared" si="32"/>
        <v>31</v>
      </c>
      <c r="BG152" s="349" t="s">
        <v>330</v>
      </c>
      <c r="BH152" s="433" t="s">
        <v>2079</v>
      </c>
      <c r="BI152" s="434" t="s">
        <v>88</v>
      </c>
      <c r="BJ152" s="433" t="s">
        <v>2144</v>
      </c>
      <c r="BK152" s="621" t="s">
        <v>2155</v>
      </c>
      <c r="BL152" s="498"/>
    </row>
    <row r="153" s="294" customFormat="1" spans="1:64">
      <c r="A153" s="54">
        <v>148</v>
      </c>
      <c r="B153" s="620" t="s">
        <v>2156</v>
      </c>
      <c r="C153" s="434" t="s">
        <v>509</v>
      </c>
      <c r="D153" s="434" t="s">
        <v>2044</v>
      </c>
      <c r="E153" s="434" t="s">
        <v>2045</v>
      </c>
      <c r="F153" s="433"/>
      <c r="G153" s="434" t="s">
        <v>2157</v>
      </c>
      <c r="H153" s="434" t="s">
        <v>177</v>
      </c>
      <c r="I153" s="434" t="str">
        <f t="shared" si="29"/>
        <v>Muhammad Mahayuddin, S.Pd</v>
      </c>
      <c r="J153" s="434" t="s">
        <v>127</v>
      </c>
      <c r="K153" s="434" t="str">
        <f t="shared" si="35"/>
        <v>Laki-laki</v>
      </c>
      <c r="L153" s="434" t="s">
        <v>2158</v>
      </c>
      <c r="M153" s="621" t="s">
        <v>2159</v>
      </c>
      <c r="N153" s="440" t="str">
        <f ca="1" t="shared" si="30"/>
        <v>37 Tahun 7 Bulan </v>
      </c>
      <c r="O153" s="441" t="str">
        <f t="shared" si="31"/>
        <v>07 March 1988</v>
      </c>
      <c r="P153" s="434">
        <f ca="1" t="shared" si="33"/>
        <v>37</v>
      </c>
      <c r="Q153" s="434" t="str">
        <f ca="1" t="shared" si="34"/>
        <v>OKE</v>
      </c>
      <c r="R153" s="621" t="s">
        <v>2160</v>
      </c>
      <c r="S153" s="433"/>
      <c r="T153" s="433"/>
      <c r="U153" s="434" t="s">
        <v>83</v>
      </c>
      <c r="V153" s="349" t="s">
        <v>84</v>
      </c>
      <c r="W153" s="434" t="s">
        <v>112</v>
      </c>
      <c r="X153" s="433" t="s">
        <v>2161</v>
      </c>
      <c r="Y153" s="433">
        <v>4</v>
      </c>
      <c r="Z153" s="433"/>
      <c r="AA153" s="433"/>
      <c r="AB153" s="434" t="s">
        <v>2162</v>
      </c>
      <c r="AC153" s="621" t="s">
        <v>2103</v>
      </c>
      <c r="AD153" s="434" t="s">
        <v>544</v>
      </c>
      <c r="AE153" s="433"/>
      <c r="AF153" s="621" t="s">
        <v>2163</v>
      </c>
      <c r="AG153" s="208" t="s">
        <v>2164</v>
      </c>
      <c r="AH153" s="433"/>
      <c r="AI153" s="433"/>
      <c r="AJ153" s="620" t="s">
        <v>2072</v>
      </c>
      <c r="AK153" s="622" t="s">
        <v>2073</v>
      </c>
      <c r="AL153" s="115" t="str">
        <f ca="1" t="shared" si="27"/>
        <v>12 Tahun 3 Bulan </v>
      </c>
      <c r="AM153" s="434" t="s">
        <v>92</v>
      </c>
      <c r="AN153" s="434" t="s">
        <v>93</v>
      </c>
      <c r="AO153" s="434" t="s">
        <v>2165</v>
      </c>
      <c r="AP153" s="439" t="s">
        <v>1659</v>
      </c>
      <c r="AQ153" s="434"/>
      <c r="AR153" s="433"/>
      <c r="AS153" s="434"/>
      <c r="AT153" s="433"/>
      <c r="AU153" s="434"/>
      <c r="AV153" s="623" t="s">
        <v>2166</v>
      </c>
      <c r="AW153" s="434" t="s">
        <v>100</v>
      </c>
      <c r="AX153" s="434" t="s">
        <v>101</v>
      </c>
      <c r="AY153" s="12" t="s">
        <v>686</v>
      </c>
      <c r="AZ153" s="433"/>
      <c r="BA153" s="433"/>
      <c r="BB153" s="434" t="s">
        <v>1815</v>
      </c>
      <c r="BC153" s="433" t="s">
        <v>686</v>
      </c>
      <c r="BD153" s="483">
        <v>19</v>
      </c>
      <c r="BE153" s="483">
        <v>26</v>
      </c>
      <c r="BF153" s="483">
        <f t="shared" si="32"/>
        <v>45</v>
      </c>
      <c r="BG153" s="349" t="s">
        <v>686</v>
      </c>
      <c r="BH153" s="433" t="s">
        <v>105</v>
      </c>
      <c r="BI153" s="434" t="s">
        <v>88</v>
      </c>
      <c r="BJ153" s="433" t="s">
        <v>2157</v>
      </c>
      <c r="BK153" s="621" t="s">
        <v>2167</v>
      </c>
      <c r="BL153" s="498"/>
    </row>
    <row r="154" s="294" customFormat="1" spans="1:64">
      <c r="A154" s="54">
        <v>149</v>
      </c>
      <c r="B154" s="620" t="s">
        <v>2168</v>
      </c>
      <c r="C154" s="434" t="s">
        <v>509</v>
      </c>
      <c r="D154" s="434" t="s">
        <v>2044</v>
      </c>
      <c r="E154" s="434" t="s">
        <v>2045</v>
      </c>
      <c r="F154" s="433"/>
      <c r="G154" s="434" t="s">
        <v>2169</v>
      </c>
      <c r="H154" s="434" t="s">
        <v>1328</v>
      </c>
      <c r="I154" s="434" t="str">
        <f t="shared" si="29"/>
        <v>Mariasa, S.Pd.I</v>
      </c>
      <c r="J154" s="434" t="s">
        <v>80</v>
      </c>
      <c r="K154" s="434" t="str">
        <f t="shared" si="35"/>
        <v>Perempuan</v>
      </c>
      <c r="L154" s="434" t="s">
        <v>75</v>
      </c>
      <c r="M154" s="621" t="s">
        <v>2170</v>
      </c>
      <c r="N154" s="440" t="str">
        <f ca="1" t="shared" si="30"/>
        <v>37 Tahun 4 Bulan </v>
      </c>
      <c r="O154" s="441" t="str">
        <f t="shared" si="31"/>
        <v>11 June 1988</v>
      </c>
      <c r="P154" s="434">
        <f ca="1" t="shared" si="33"/>
        <v>37</v>
      </c>
      <c r="Q154" s="434" t="str">
        <f ca="1" t="shared" si="34"/>
        <v>OKE</v>
      </c>
      <c r="R154" s="621" t="s">
        <v>2171</v>
      </c>
      <c r="S154" s="433"/>
      <c r="T154" s="433"/>
      <c r="U154" s="434" t="s">
        <v>83</v>
      </c>
      <c r="V154" s="349" t="s">
        <v>84</v>
      </c>
      <c r="W154" s="434" t="s">
        <v>112</v>
      </c>
      <c r="X154" s="433" t="s">
        <v>2172</v>
      </c>
      <c r="Y154" s="433">
        <v>1</v>
      </c>
      <c r="Z154" s="433"/>
      <c r="AA154" s="433"/>
      <c r="AB154" s="434" t="s">
        <v>2162</v>
      </c>
      <c r="AC154" s="621" t="s">
        <v>2103</v>
      </c>
      <c r="AD154" s="434" t="s">
        <v>544</v>
      </c>
      <c r="AE154" s="433"/>
      <c r="AF154" s="621" t="s">
        <v>2173</v>
      </c>
      <c r="AG154" s="459" t="s">
        <v>2174</v>
      </c>
      <c r="AH154" s="433"/>
      <c r="AI154" s="433"/>
      <c r="AJ154" s="620" t="s">
        <v>2072</v>
      </c>
      <c r="AK154" s="622" t="s">
        <v>2073</v>
      </c>
      <c r="AL154" s="115" t="str">
        <f ca="1" t="shared" si="27"/>
        <v>12 Tahun 3 Bulan </v>
      </c>
      <c r="AM154" s="434" t="s">
        <v>92</v>
      </c>
      <c r="AN154" s="434" t="s">
        <v>93</v>
      </c>
      <c r="AO154" s="434" t="s">
        <v>2175</v>
      </c>
      <c r="AP154" s="439" t="s">
        <v>838</v>
      </c>
      <c r="AQ154" s="434" t="s">
        <v>2176</v>
      </c>
      <c r="AR154" s="433"/>
      <c r="AS154" s="434" t="s">
        <v>2076</v>
      </c>
      <c r="AT154" s="433"/>
      <c r="AU154" s="434"/>
      <c r="AV154" s="623" t="s">
        <v>2177</v>
      </c>
      <c r="AW154" s="434" t="s">
        <v>100</v>
      </c>
      <c r="AX154" s="434" t="s">
        <v>101</v>
      </c>
      <c r="AY154" s="12" t="s">
        <v>606</v>
      </c>
      <c r="AZ154" s="433"/>
      <c r="BA154" s="433"/>
      <c r="BB154" s="434" t="s">
        <v>346</v>
      </c>
      <c r="BC154" s="433" t="s">
        <v>606</v>
      </c>
      <c r="BD154" s="483">
        <v>3</v>
      </c>
      <c r="BE154" s="483">
        <v>19</v>
      </c>
      <c r="BF154" s="483">
        <f t="shared" si="32"/>
        <v>22</v>
      </c>
      <c r="BG154" s="349" t="s">
        <v>606</v>
      </c>
      <c r="BH154" s="433" t="s">
        <v>105</v>
      </c>
      <c r="BI154" s="434" t="s">
        <v>88</v>
      </c>
      <c r="BJ154" s="433" t="s">
        <v>2169</v>
      </c>
      <c r="BK154" s="621" t="s">
        <v>2178</v>
      </c>
      <c r="BL154" s="498"/>
    </row>
    <row r="155" s="294" customFormat="1" spans="1:64">
      <c r="A155" s="54">
        <v>150</v>
      </c>
      <c r="B155" s="620" t="s">
        <v>2179</v>
      </c>
      <c r="C155" s="434" t="s">
        <v>509</v>
      </c>
      <c r="D155" s="434" t="s">
        <v>2044</v>
      </c>
      <c r="E155" s="434" t="s">
        <v>2045</v>
      </c>
      <c r="F155" s="433"/>
      <c r="G155" s="434" t="s">
        <v>2180</v>
      </c>
      <c r="H155" s="434" t="s">
        <v>177</v>
      </c>
      <c r="I155" s="434" t="str">
        <f t="shared" si="29"/>
        <v>Marten, S.Pd</v>
      </c>
      <c r="J155" s="434" t="s">
        <v>127</v>
      </c>
      <c r="K155" s="434" t="str">
        <f t="shared" si="35"/>
        <v>Laki-laki</v>
      </c>
      <c r="L155" s="434" t="s">
        <v>2181</v>
      </c>
      <c r="M155" s="442">
        <v>29014</v>
      </c>
      <c r="N155" s="440" t="str">
        <f ca="1" t="shared" si="30"/>
        <v>46 Tahun 4 Bulan </v>
      </c>
      <c r="O155" s="441" t="str">
        <f t="shared" si="31"/>
        <v>08 June 1979</v>
      </c>
      <c r="P155" s="434">
        <f ca="1" t="shared" si="33"/>
        <v>46</v>
      </c>
      <c r="Q155" s="434" t="str">
        <f ca="1" t="shared" si="34"/>
        <v>OKE</v>
      </c>
      <c r="R155" s="621" t="s">
        <v>2182</v>
      </c>
      <c r="S155" s="433"/>
      <c r="T155" s="620" t="s">
        <v>2183</v>
      </c>
      <c r="U155" s="434" t="s">
        <v>83</v>
      </c>
      <c r="V155" s="349" t="s">
        <v>84</v>
      </c>
      <c r="W155" s="434" t="s">
        <v>112</v>
      </c>
      <c r="X155" s="433" t="s">
        <v>2184</v>
      </c>
      <c r="Y155" s="433">
        <v>9</v>
      </c>
      <c r="Z155" s="433"/>
      <c r="AA155" s="433"/>
      <c r="AB155" s="434" t="s">
        <v>544</v>
      </c>
      <c r="AC155" s="439">
        <v>77371</v>
      </c>
      <c r="AD155" s="434" t="s">
        <v>544</v>
      </c>
      <c r="AE155" s="433"/>
      <c r="AF155" s="621" t="s">
        <v>2185</v>
      </c>
      <c r="AG155" s="459" t="s">
        <v>2186</v>
      </c>
      <c r="AH155" s="433"/>
      <c r="AI155" s="433"/>
      <c r="AJ155" s="624" t="s">
        <v>2187</v>
      </c>
      <c r="AK155" s="622" t="s">
        <v>2188</v>
      </c>
      <c r="AL155" s="115" t="str">
        <f ca="1" t="shared" si="27"/>
        <v>23 Tahun 3 Bulan </v>
      </c>
      <c r="AM155" s="434" t="s">
        <v>92</v>
      </c>
      <c r="AN155" s="434" t="s">
        <v>93</v>
      </c>
      <c r="AO155" s="434" t="s">
        <v>2189</v>
      </c>
      <c r="AP155" s="439" t="s">
        <v>838</v>
      </c>
      <c r="AQ155" s="434" t="s">
        <v>2190</v>
      </c>
      <c r="AR155" s="620" t="s">
        <v>2191</v>
      </c>
      <c r="AS155" s="434" t="s">
        <v>2192</v>
      </c>
      <c r="AT155" s="620" t="s">
        <v>2193</v>
      </c>
      <c r="AU155" s="434"/>
      <c r="AV155" s="623" t="s">
        <v>2194</v>
      </c>
      <c r="AW155" s="434" t="s">
        <v>100</v>
      </c>
      <c r="AX155" s="434" t="s">
        <v>101</v>
      </c>
      <c r="AY155" s="12" t="s">
        <v>358</v>
      </c>
      <c r="AZ155" s="433"/>
      <c r="BA155" s="433"/>
      <c r="BB155" s="489" t="s">
        <v>346</v>
      </c>
      <c r="BC155" s="433" t="s">
        <v>358</v>
      </c>
      <c r="BD155" s="483">
        <v>9</v>
      </c>
      <c r="BE155" s="483">
        <v>18</v>
      </c>
      <c r="BF155" s="483">
        <f t="shared" si="32"/>
        <v>27</v>
      </c>
      <c r="BG155" s="349" t="s">
        <v>358</v>
      </c>
      <c r="BH155" s="433" t="s">
        <v>105</v>
      </c>
      <c r="BI155" s="434" t="s">
        <v>88</v>
      </c>
      <c r="BJ155" s="433" t="s">
        <v>2180</v>
      </c>
      <c r="BK155" s="621" t="s">
        <v>2195</v>
      </c>
      <c r="BL155" s="498"/>
    </row>
    <row r="156" s="294" customFormat="1" spans="1:64">
      <c r="A156" s="54">
        <v>151</v>
      </c>
      <c r="B156" s="620" t="s">
        <v>2196</v>
      </c>
      <c r="C156" s="434" t="s">
        <v>509</v>
      </c>
      <c r="D156" s="434" t="s">
        <v>2044</v>
      </c>
      <c r="E156" s="434" t="s">
        <v>2045</v>
      </c>
      <c r="F156" s="433"/>
      <c r="G156" s="434" t="s">
        <v>2197</v>
      </c>
      <c r="H156" s="434" t="s">
        <v>2198</v>
      </c>
      <c r="I156" s="434" t="str">
        <f t="shared" si="29"/>
        <v>Muhlis, S.Pd.I., M.Pd</v>
      </c>
      <c r="J156" s="434" t="s">
        <v>127</v>
      </c>
      <c r="K156" s="434" t="str">
        <f t="shared" si="35"/>
        <v>Laki-laki</v>
      </c>
      <c r="L156" s="434" t="s">
        <v>88</v>
      </c>
      <c r="M156" s="621" t="s">
        <v>2199</v>
      </c>
      <c r="N156" s="440" t="str">
        <f ca="1" t="shared" si="30"/>
        <v>43 Tahun 2 Bulan </v>
      </c>
      <c r="O156" s="441" t="str">
        <f t="shared" si="31"/>
        <v>21 August 1982</v>
      </c>
      <c r="P156" s="434">
        <f ca="1" t="shared" si="33"/>
        <v>43</v>
      </c>
      <c r="Q156" s="434" t="str">
        <f ca="1" t="shared" si="34"/>
        <v>OKE</v>
      </c>
      <c r="R156" s="621" t="s">
        <v>2200</v>
      </c>
      <c r="S156" s="433"/>
      <c r="T156" s="620" t="s">
        <v>2201</v>
      </c>
      <c r="U156" s="434" t="s">
        <v>83</v>
      </c>
      <c r="V156" s="349" t="s">
        <v>84</v>
      </c>
      <c r="W156" s="434" t="s">
        <v>112</v>
      </c>
      <c r="X156" s="433" t="s">
        <v>2202</v>
      </c>
      <c r="Y156" s="433">
        <v>6</v>
      </c>
      <c r="Z156" s="433"/>
      <c r="AA156" s="433"/>
      <c r="AB156" s="434" t="s">
        <v>710</v>
      </c>
      <c r="AC156" s="621" t="s">
        <v>2069</v>
      </c>
      <c r="AD156" s="434" t="s">
        <v>664</v>
      </c>
      <c r="AE156" s="433"/>
      <c r="AF156" s="621" t="s">
        <v>2203</v>
      </c>
      <c r="AG156" s="434" t="s">
        <v>2204</v>
      </c>
      <c r="AH156" s="433"/>
      <c r="AI156" s="433"/>
      <c r="AJ156" s="433" t="s">
        <v>2205</v>
      </c>
      <c r="AK156" s="622" t="s">
        <v>2206</v>
      </c>
      <c r="AL156" s="115" t="str">
        <f ca="1" t="shared" si="27"/>
        <v>18 Tahun 4 Bulan </v>
      </c>
      <c r="AM156" s="434" t="s">
        <v>92</v>
      </c>
      <c r="AN156" s="434" t="s">
        <v>93</v>
      </c>
      <c r="AO156" s="434" t="s">
        <v>2207</v>
      </c>
      <c r="AP156" s="439" t="s">
        <v>838</v>
      </c>
      <c r="AQ156" s="434" t="s">
        <v>2208</v>
      </c>
      <c r="AR156" s="433"/>
      <c r="AS156" s="434" t="s">
        <v>2209</v>
      </c>
      <c r="AT156" s="433"/>
      <c r="AU156" s="434"/>
      <c r="AV156" s="623" t="s">
        <v>2210</v>
      </c>
      <c r="AW156" s="434" t="s">
        <v>100</v>
      </c>
      <c r="AX156" s="434" t="s">
        <v>717</v>
      </c>
      <c r="AY156" s="12" t="s">
        <v>1195</v>
      </c>
      <c r="AZ156" s="433"/>
      <c r="BA156" s="433"/>
      <c r="BB156" s="434" t="s">
        <v>346</v>
      </c>
      <c r="BC156" s="434" t="s">
        <v>745</v>
      </c>
      <c r="BD156" s="483">
        <v>6</v>
      </c>
      <c r="BE156" s="483">
        <v>20</v>
      </c>
      <c r="BF156" s="483">
        <f t="shared" si="32"/>
        <v>26</v>
      </c>
      <c r="BG156" s="349" t="s">
        <v>1195</v>
      </c>
      <c r="BH156" s="433" t="s">
        <v>2211</v>
      </c>
      <c r="BI156" s="434" t="s">
        <v>88</v>
      </c>
      <c r="BJ156" s="433" t="s">
        <v>2197</v>
      </c>
      <c r="BK156" s="621" t="s">
        <v>2212</v>
      </c>
      <c r="BL156" s="498"/>
    </row>
    <row r="157" s="294" customFormat="1" ht="16" spans="1:64">
      <c r="A157" s="54">
        <v>152</v>
      </c>
      <c r="B157" s="620" t="s">
        <v>2213</v>
      </c>
      <c r="C157" s="434" t="s">
        <v>509</v>
      </c>
      <c r="D157" s="434" t="s">
        <v>2044</v>
      </c>
      <c r="E157" s="434" t="s">
        <v>2045</v>
      </c>
      <c r="F157" s="433"/>
      <c r="G157" s="434" t="s">
        <v>2214</v>
      </c>
      <c r="H157" s="434" t="s">
        <v>177</v>
      </c>
      <c r="I157" s="434" t="str">
        <f t="shared" si="29"/>
        <v>Noor Hasinah Khalid, S.Pd</v>
      </c>
      <c r="J157" s="434" t="s">
        <v>80</v>
      </c>
      <c r="K157" s="434" t="str">
        <f t="shared" si="35"/>
        <v>Perempuan</v>
      </c>
      <c r="L157" s="434" t="s">
        <v>2215</v>
      </c>
      <c r="M157" s="621" t="s">
        <v>2216</v>
      </c>
      <c r="N157" s="440" t="str">
        <f ca="1" t="shared" si="30"/>
        <v>34 Tahun 8 Bulan </v>
      </c>
      <c r="O157" s="441" t="str">
        <f t="shared" si="31"/>
        <v>17 February 1991</v>
      </c>
      <c r="P157" s="434">
        <f ca="1" t="shared" si="33"/>
        <v>34</v>
      </c>
      <c r="Q157" s="434" t="str">
        <f ca="1" t="shared" si="34"/>
        <v>OKE</v>
      </c>
      <c r="R157" s="621" t="s">
        <v>2217</v>
      </c>
      <c r="S157" s="433"/>
      <c r="T157" s="433"/>
      <c r="U157" s="434" t="s">
        <v>83</v>
      </c>
      <c r="V157" s="349" t="s">
        <v>84</v>
      </c>
      <c r="W157" s="434" t="s">
        <v>112</v>
      </c>
      <c r="X157" s="433" t="s">
        <v>2218</v>
      </c>
      <c r="Y157" s="433">
        <v>9</v>
      </c>
      <c r="Z157" s="433"/>
      <c r="AA157" s="433"/>
      <c r="AB157" s="434" t="s">
        <v>762</v>
      </c>
      <c r="AC157" s="439">
        <v>77311</v>
      </c>
      <c r="AD157" s="434" t="s">
        <v>664</v>
      </c>
      <c r="AE157" s="433"/>
      <c r="AF157" s="621" t="s">
        <v>2219</v>
      </c>
      <c r="AG157" s="433" t="s">
        <v>2220</v>
      </c>
      <c r="AH157" s="433"/>
      <c r="AI157" s="433"/>
      <c r="AJ157" s="433" t="s">
        <v>2221</v>
      </c>
      <c r="AK157" s="622" t="s">
        <v>2222</v>
      </c>
      <c r="AL157" s="115" t="str">
        <f ca="1" t="shared" si="27"/>
        <v>12 Tahun 10 Bulan </v>
      </c>
      <c r="AM157" s="434" t="s">
        <v>2151</v>
      </c>
      <c r="AN157" s="434" t="s">
        <v>93</v>
      </c>
      <c r="AO157" s="434" t="s">
        <v>2223</v>
      </c>
      <c r="AP157" s="439" t="s">
        <v>1659</v>
      </c>
      <c r="AQ157" s="434"/>
      <c r="AR157" s="433"/>
      <c r="AS157" s="434"/>
      <c r="AT157" s="433"/>
      <c r="AU157" s="434"/>
      <c r="AV157" s="623" t="s">
        <v>2224</v>
      </c>
      <c r="AW157" s="434" t="s">
        <v>100</v>
      </c>
      <c r="AX157" s="434" t="s">
        <v>101</v>
      </c>
      <c r="AY157" s="12" t="s">
        <v>374</v>
      </c>
      <c r="AZ157" s="433"/>
      <c r="BA157" s="433"/>
      <c r="BB157" s="489" t="s">
        <v>346</v>
      </c>
      <c r="BC157" s="490" t="s">
        <v>374</v>
      </c>
      <c r="BD157" s="483">
        <v>10</v>
      </c>
      <c r="BE157" s="483">
        <v>18</v>
      </c>
      <c r="BF157" s="483">
        <f t="shared" si="32"/>
        <v>28</v>
      </c>
      <c r="BG157" s="349" t="s">
        <v>374</v>
      </c>
      <c r="BH157" s="433" t="s">
        <v>105</v>
      </c>
      <c r="BI157" s="434" t="s">
        <v>88</v>
      </c>
      <c r="BJ157" s="433" t="s">
        <v>2214</v>
      </c>
      <c r="BK157" s="621" t="s">
        <v>2225</v>
      </c>
      <c r="BL157" s="498"/>
    </row>
    <row r="158" s="294" customFormat="1" spans="1:64">
      <c r="A158" s="54">
        <v>153</v>
      </c>
      <c r="B158" s="620" t="s">
        <v>2226</v>
      </c>
      <c r="C158" s="434" t="s">
        <v>509</v>
      </c>
      <c r="D158" s="434" t="s">
        <v>2044</v>
      </c>
      <c r="E158" s="434" t="s">
        <v>2045</v>
      </c>
      <c r="F158" s="433"/>
      <c r="G158" s="434" t="s">
        <v>2152</v>
      </c>
      <c r="H158" s="434" t="s">
        <v>177</v>
      </c>
      <c r="I158" s="434" t="str">
        <f t="shared" si="29"/>
        <v>Nurhayati, S.Pd</v>
      </c>
      <c r="J158" s="434" t="s">
        <v>80</v>
      </c>
      <c r="K158" s="434" t="str">
        <f t="shared" si="35"/>
        <v>Perempuan</v>
      </c>
      <c r="L158" s="434" t="s">
        <v>2227</v>
      </c>
      <c r="M158" s="621" t="s">
        <v>2228</v>
      </c>
      <c r="N158" s="440" t="str">
        <f ca="1" t="shared" si="30"/>
        <v>36 Tahun 9 Bulan </v>
      </c>
      <c r="O158" s="441" t="str">
        <f t="shared" si="31"/>
        <v>25 January 1989</v>
      </c>
      <c r="P158" s="434">
        <f ca="1" t="shared" si="33"/>
        <v>36</v>
      </c>
      <c r="Q158" s="434" t="str">
        <f ca="1" t="shared" si="34"/>
        <v>OKE</v>
      </c>
      <c r="R158" s="621" t="s">
        <v>2229</v>
      </c>
      <c r="S158" s="433"/>
      <c r="T158" s="620" t="s">
        <v>2230</v>
      </c>
      <c r="U158" s="434" t="s">
        <v>83</v>
      </c>
      <c r="V158" s="349" t="s">
        <v>84</v>
      </c>
      <c r="W158" s="434" t="s">
        <v>112</v>
      </c>
      <c r="X158" s="433" t="s">
        <v>2172</v>
      </c>
      <c r="Y158" s="433">
        <v>1</v>
      </c>
      <c r="Z158" s="433"/>
      <c r="AA158" s="433"/>
      <c r="AB158" s="434" t="s">
        <v>2162</v>
      </c>
      <c r="AC158" s="439">
        <v>73711</v>
      </c>
      <c r="AD158" s="434" t="s">
        <v>544</v>
      </c>
      <c r="AE158" s="433"/>
      <c r="AF158" s="621" t="s">
        <v>2231</v>
      </c>
      <c r="AG158" s="433" t="s">
        <v>2232</v>
      </c>
      <c r="AH158" s="433"/>
      <c r="AI158" s="433"/>
      <c r="AJ158" s="620" t="s">
        <v>2233</v>
      </c>
      <c r="AK158" s="622" t="s">
        <v>2234</v>
      </c>
      <c r="AL158" s="115" t="str">
        <f ca="1" t="shared" si="27"/>
        <v>15 Tahun 2 Bulan </v>
      </c>
      <c r="AM158" s="434" t="s">
        <v>92</v>
      </c>
      <c r="AN158" s="434" t="s">
        <v>93</v>
      </c>
      <c r="AO158" s="434" t="s">
        <v>2235</v>
      </c>
      <c r="AP158" s="439" t="s">
        <v>838</v>
      </c>
      <c r="AQ158" s="434" t="s">
        <v>2236</v>
      </c>
      <c r="AR158" s="433"/>
      <c r="AS158" s="434" t="s">
        <v>2076</v>
      </c>
      <c r="AT158" s="433"/>
      <c r="AU158" s="434"/>
      <c r="AV158" s="623" t="s">
        <v>2237</v>
      </c>
      <c r="AW158" s="434" t="s">
        <v>100</v>
      </c>
      <c r="AX158" s="434" t="s">
        <v>101</v>
      </c>
      <c r="AY158" s="12" t="s">
        <v>620</v>
      </c>
      <c r="AZ158" s="433"/>
      <c r="BA158" s="433"/>
      <c r="BB158" s="294" t="s">
        <v>346</v>
      </c>
      <c r="BC158" s="433" t="s">
        <v>620</v>
      </c>
      <c r="BD158" s="483">
        <v>7</v>
      </c>
      <c r="BE158" s="483">
        <v>18</v>
      </c>
      <c r="BF158" s="483">
        <f t="shared" si="32"/>
        <v>25</v>
      </c>
      <c r="BG158" s="349" t="s">
        <v>620</v>
      </c>
      <c r="BH158" s="433" t="s">
        <v>2079</v>
      </c>
      <c r="BI158" s="434" t="s">
        <v>88</v>
      </c>
      <c r="BJ158" s="433" t="s">
        <v>2152</v>
      </c>
      <c r="BK158" s="621" t="s">
        <v>2238</v>
      </c>
      <c r="BL158" s="498"/>
    </row>
    <row r="159" s="294" customFormat="1" spans="1:64">
      <c r="A159" s="54">
        <v>154</v>
      </c>
      <c r="B159" s="620" t="s">
        <v>2239</v>
      </c>
      <c r="C159" s="434" t="s">
        <v>509</v>
      </c>
      <c r="D159" s="434" t="s">
        <v>2044</v>
      </c>
      <c r="E159" s="434" t="s">
        <v>2045</v>
      </c>
      <c r="F159" s="433"/>
      <c r="G159" s="434" t="s">
        <v>2240</v>
      </c>
      <c r="H159" s="434" t="s">
        <v>2241</v>
      </c>
      <c r="I159" s="434" t="str">
        <f t="shared" si="29"/>
        <v>Saharudin, S.Pd., M.Pd.I</v>
      </c>
      <c r="J159" s="434" t="s">
        <v>127</v>
      </c>
      <c r="K159" s="434" t="str">
        <f t="shared" si="35"/>
        <v>Laki-laki</v>
      </c>
      <c r="L159" s="434" t="s">
        <v>497</v>
      </c>
      <c r="M159" s="621" t="s">
        <v>2242</v>
      </c>
      <c r="N159" s="440" t="str">
        <f ca="1" t="shared" si="30"/>
        <v>38 Tahun 2 Bulan </v>
      </c>
      <c r="O159" s="441" t="str">
        <f t="shared" si="31"/>
        <v>17 August 1987</v>
      </c>
      <c r="P159" s="434">
        <f ca="1" t="shared" si="33"/>
        <v>38</v>
      </c>
      <c r="Q159" s="434" t="str">
        <f ca="1" t="shared" si="34"/>
        <v>OKE</v>
      </c>
      <c r="R159" s="621" t="s">
        <v>2243</v>
      </c>
      <c r="S159" s="433"/>
      <c r="T159" s="433"/>
      <c r="U159" s="434" t="s">
        <v>83</v>
      </c>
      <c r="V159" s="349" t="s">
        <v>84</v>
      </c>
      <c r="W159" s="434" t="s">
        <v>112</v>
      </c>
      <c r="X159" s="433" t="s">
        <v>2244</v>
      </c>
      <c r="Y159" s="433">
        <v>3</v>
      </c>
      <c r="Z159" s="433"/>
      <c r="AA159" s="433"/>
      <c r="AB159" s="434" t="s">
        <v>2162</v>
      </c>
      <c r="AC159" s="439">
        <v>77371</v>
      </c>
      <c r="AD159" s="434" t="s">
        <v>544</v>
      </c>
      <c r="AE159" s="433"/>
      <c r="AF159" s="621" t="s">
        <v>2245</v>
      </c>
      <c r="AG159" s="462" t="s">
        <v>2246</v>
      </c>
      <c r="AH159" s="433"/>
      <c r="AI159" s="433"/>
      <c r="AJ159" s="620" t="s">
        <v>2247</v>
      </c>
      <c r="AK159" s="622" t="s">
        <v>2073</v>
      </c>
      <c r="AL159" s="115" t="str">
        <f ca="1" t="shared" si="27"/>
        <v>12 Tahun 3 Bulan </v>
      </c>
      <c r="AM159" s="434" t="s">
        <v>92</v>
      </c>
      <c r="AN159" s="434" t="s">
        <v>93</v>
      </c>
      <c r="AO159" s="434" t="s">
        <v>1768</v>
      </c>
      <c r="AP159" s="439" t="s">
        <v>838</v>
      </c>
      <c r="AQ159" s="434" t="s">
        <v>2248</v>
      </c>
      <c r="AR159" s="433"/>
      <c r="AS159" s="434" t="s">
        <v>2094</v>
      </c>
      <c r="AT159" s="433"/>
      <c r="AU159" s="434"/>
      <c r="AV159" s="623" t="s">
        <v>2249</v>
      </c>
      <c r="AW159" s="434" t="s">
        <v>100</v>
      </c>
      <c r="AX159" s="434" t="s">
        <v>717</v>
      </c>
      <c r="AY159" s="12" t="s">
        <v>606</v>
      </c>
      <c r="AZ159" s="433"/>
      <c r="BA159" s="433"/>
      <c r="BB159" s="434" t="s">
        <v>235</v>
      </c>
      <c r="BC159" s="433" t="s">
        <v>313</v>
      </c>
      <c r="BD159" s="483">
        <v>7</v>
      </c>
      <c r="BE159" s="483">
        <v>24</v>
      </c>
      <c r="BF159" s="483">
        <f t="shared" si="32"/>
        <v>31</v>
      </c>
      <c r="BG159" s="349" t="s">
        <v>313</v>
      </c>
      <c r="BH159" s="433" t="s">
        <v>105</v>
      </c>
      <c r="BI159" s="434" t="s">
        <v>88</v>
      </c>
      <c r="BJ159" s="433" t="s">
        <v>2240</v>
      </c>
      <c r="BK159" s="621" t="s">
        <v>2250</v>
      </c>
      <c r="BL159" s="498"/>
    </row>
    <row r="160" s="294" customFormat="1" spans="1:64">
      <c r="A160" s="54">
        <v>155</v>
      </c>
      <c r="B160" s="620" t="s">
        <v>2251</v>
      </c>
      <c r="C160" s="434" t="s">
        <v>509</v>
      </c>
      <c r="D160" s="434" t="s">
        <v>2044</v>
      </c>
      <c r="E160" s="434" t="s">
        <v>2045</v>
      </c>
      <c r="F160" s="433"/>
      <c r="G160" s="434" t="s">
        <v>2252</v>
      </c>
      <c r="H160" s="434" t="s">
        <v>177</v>
      </c>
      <c r="I160" s="434" t="str">
        <f t="shared" si="29"/>
        <v>Siti Asaniyati, S.Pd</v>
      </c>
      <c r="J160" s="434" t="s">
        <v>80</v>
      </c>
      <c r="K160" s="434" t="str">
        <f t="shared" si="35"/>
        <v>Perempuan</v>
      </c>
      <c r="L160" s="434" t="s">
        <v>2253</v>
      </c>
      <c r="M160" s="621" t="s">
        <v>2254</v>
      </c>
      <c r="N160" s="440" t="str">
        <f ca="1" t="shared" si="30"/>
        <v>36 Tahun 11 Bulan </v>
      </c>
      <c r="O160" s="441" t="str">
        <f t="shared" si="31"/>
        <v>27 November 1988</v>
      </c>
      <c r="P160" s="434">
        <f ca="1" t="shared" si="33"/>
        <v>36</v>
      </c>
      <c r="Q160" s="434" t="str">
        <f ca="1" t="shared" si="34"/>
        <v>OKE</v>
      </c>
      <c r="R160" s="621" t="s">
        <v>2255</v>
      </c>
      <c r="S160" s="433"/>
      <c r="T160" s="433"/>
      <c r="U160" s="434" t="s">
        <v>1038</v>
      </c>
      <c r="V160" s="349" t="s">
        <v>84</v>
      </c>
      <c r="W160" s="434" t="s">
        <v>112</v>
      </c>
      <c r="X160" s="433" t="s">
        <v>2256</v>
      </c>
      <c r="Y160" s="433">
        <v>6</v>
      </c>
      <c r="Z160" s="433"/>
      <c r="AA160" s="433"/>
      <c r="AB160" s="434" t="s">
        <v>2257</v>
      </c>
      <c r="AC160" s="621" t="s">
        <v>2258</v>
      </c>
      <c r="AD160" s="434" t="s">
        <v>664</v>
      </c>
      <c r="AE160" s="433"/>
      <c r="AF160" s="621" t="s">
        <v>2259</v>
      </c>
      <c r="AG160" s="433" t="s">
        <v>2260</v>
      </c>
      <c r="AH160" s="433"/>
      <c r="AI160" s="433"/>
      <c r="AJ160" s="620" t="s">
        <v>2261</v>
      </c>
      <c r="AK160" s="625" t="s">
        <v>135</v>
      </c>
      <c r="AL160" s="115" t="str">
        <f ca="1" t="shared" si="27"/>
        <v>13 Tahun 10 Bulan </v>
      </c>
      <c r="AM160" s="434" t="s">
        <v>2151</v>
      </c>
      <c r="AN160" s="434" t="s">
        <v>93</v>
      </c>
      <c r="AO160" s="434" t="s">
        <v>2262</v>
      </c>
      <c r="AP160" s="439" t="s">
        <v>838</v>
      </c>
      <c r="AQ160" s="434" t="s">
        <v>2263</v>
      </c>
      <c r="AR160" s="433"/>
      <c r="AS160" s="434" t="s">
        <v>2209</v>
      </c>
      <c r="AT160" s="433"/>
      <c r="AU160" s="434"/>
      <c r="AV160" s="623" t="s">
        <v>2264</v>
      </c>
      <c r="AW160" s="434" t="s">
        <v>100</v>
      </c>
      <c r="AX160" s="434" t="s">
        <v>101</v>
      </c>
      <c r="AY160" s="12" t="s">
        <v>1048</v>
      </c>
      <c r="AZ160" s="433"/>
      <c r="BA160" s="433"/>
      <c r="BB160" s="434" t="s">
        <v>346</v>
      </c>
      <c r="BC160" s="433" t="s">
        <v>2265</v>
      </c>
      <c r="BD160" s="483"/>
      <c r="BE160" s="483">
        <v>58</v>
      </c>
      <c r="BF160" s="483">
        <f t="shared" si="32"/>
        <v>58</v>
      </c>
      <c r="BG160" s="349" t="s">
        <v>1048</v>
      </c>
      <c r="BH160" s="433" t="s">
        <v>105</v>
      </c>
      <c r="BI160" s="434" t="s">
        <v>88</v>
      </c>
      <c r="BJ160" s="433" t="s">
        <v>2266</v>
      </c>
      <c r="BK160" s="621" t="s">
        <v>2267</v>
      </c>
      <c r="BL160" s="498"/>
    </row>
    <row r="161" s="294" customFormat="1" spans="1:64">
      <c r="A161" s="54">
        <v>156</v>
      </c>
      <c r="B161" s="620" t="s">
        <v>2268</v>
      </c>
      <c r="C161" s="434" t="s">
        <v>509</v>
      </c>
      <c r="D161" s="434" t="s">
        <v>2044</v>
      </c>
      <c r="E161" s="434" t="s">
        <v>2045</v>
      </c>
      <c r="F161" s="433"/>
      <c r="G161" s="434" t="s">
        <v>2269</v>
      </c>
      <c r="H161" s="434" t="s">
        <v>177</v>
      </c>
      <c r="I161" s="434" t="str">
        <f t="shared" si="29"/>
        <v>Sri Isnawati, S.Pd</v>
      </c>
      <c r="J161" s="434" t="s">
        <v>80</v>
      </c>
      <c r="K161" s="434" t="str">
        <f t="shared" si="35"/>
        <v>Perempuan</v>
      </c>
      <c r="L161" s="434" t="s">
        <v>2270</v>
      </c>
      <c r="M161" s="621" t="s">
        <v>2271</v>
      </c>
      <c r="N161" s="440" t="str">
        <f ca="1" t="shared" si="30"/>
        <v>42 Tahun 1 Bulan </v>
      </c>
      <c r="O161" s="441" t="str">
        <f t="shared" si="31"/>
        <v>19 September 1983</v>
      </c>
      <c r="P161" s="434">
        <f ca="1" t="shared" si="33"/>
        <v>42</v>
      </c>
      <c r="Q161" s="434" t="str">
        <f ca="1" t="shared" si="34"/>
        <v>OKE</v>
      </c>
      <c r="R161" s="621" t="s">
        <v>2272</v>
      </c>
      <c r="S161" s="433"/>
      <c r="T161" s="620" t="s">
        <v>2273</v>
      </c>
      <c r="U161" s="434" t="s">
        <v>83</v>
      </c>
      <c r="V161" s="349" t="s">
        <v>84</v>
      </c>
      <c r="W161" s="434" t="s">
        <v>112</v>
      </c>
      <c r="X161" s="433" t="s">
        <v>2274</v>
      </c>
      <c r="Y161" s="433">
        <v>12</v>
      </c>
      <c r="Z161" s="433"/>
      <c r="AA161" s="433"/>
      <c r="AB161" s="434" t="s">
        <v>2052</v>
      </c>
      <c r="AC161" s="621" t="s">
        <v>2275</v>
      </c>
      <c r="AD161" s="434" t="s">
        <v>664</v>
      </c>
      <c r="AE161" s="433"/>
      <c r="AF161" s="621" t="s">
        <v>2276</v>
      </c>
      <c r="AG161" s="433" t="s">
        <v>2277</v>
      </c>
      <c r="AH161" s="433"/>
      <c r="AI161" s="433"/>
      <c r="AJ161" s="433" t="s">
        <v>2278</v>
      </c>
      <c r="AK161" s="625" t="s">
        <v>2279</v>
      </c>
      <c r="AL161" s="115" t="str">
        <f ca="1" t="shared" si="27"/>
        <v>19 Tahun 10 Bulan </v>
      </c>
      <c r="AM161" s="434" t="s">
        <v>92</v>
      </c>
      <c r="AN161" s="434" t="s">
        <v>93</v>
      </c>
      <c r="AO161" s="434" t="s">
        <v>2280</v>
      </c>
      <c r="AP161" s="439" t="s">
        <v>838</v>
      </c>
      <c r="AQ161" s="434" t="s">
        <v>2281</v>
      </c>
      <c r="AR161" s="620" t="s">
        <v>2282</v>
      </c>
      <c r="AS161" s="434" t="s">
        <v>98</v>
      </c>
      <c r="AT161" s="620" t="s">
        <v>2283</v>
      </c>
      <c r="AU161" s="434"/>
      <c r="AV161" s="623" t="s">
        <v>2284</v>
      </c>
      <c r="AW161" s="434" t="s">
        <v>100</v>
      </c>
      <c r="AX161" s="434" t="s">
        <v>101</v>
      </c>
      <c r="AY161" s="12" t="s">
        <v>563</v>
      </c>
      <c r="AZ161" s="433"/>
      <c r="BA161" s="433"/>
      <c r="BB161" s="434" t="s">
        <v>2285</v>
      </c>
      <c r="BC161" s="433" t="s">
        <v>563</v>
      </c>
      <c r="BD161" s="483">
        <v>13</v>
      </c>
      <c r="BE161" s="483">
        <v>12</v>
      </c>
      <c r="BF161" s="483">
        <f t="shared" si="32"/>
        <v>25</v>
      </c>
      <c r="BG161" s="349" t="s">
        <v>563</v>
      </c>
      <c r="BH161" s="433" t="s">
        <v>2079</v>
      </c>
      <c r="BI161" s="434" t="s">
        <v>88</v>
      </c>
      <c r="BJ161" s="433" t="s">
        <v>2269</v>
      </c>
      <c r="BK161" s="621" t="s">
        <v>2286</v>
      </c>
      <c r="BL161" s="498"/>
    </row>
    <row r="162" s="294" customFormat="1" spans="1:64">
      <c r="A162" s="54">
        <v>157</v>
      </c>
      <c r="B162" s="620" t="s">
        <v>2287</v>
      </c>
      <c r="C162" s="434" t="s">
        <v>509</v>
      </c>
      <c r="D162" s="434" t="s">
        <v>2044</v>
      </c>
      <c r="E162" s="434" t="s">
        <v>2045</v>
      </c>
      <c r="F162" s="433"/>
      <c r="G162" s="434" t="s">
        <v>2288</v>
      </c>
      <c r="H162" s="434"/>
      <c r="I162" s="434" t="str">
        <f t="shared" si="29"/>
        <v>Rudianto</v>
      </c>
      <c r="J162" s="434" t="s">
        <v>127</v>
      </c>
      <c r="K162" s="434" t="str">
        <f t="shared" si="35"/>
        <v>Laki-laki</v>
      </c>
      <c r="L162" s="434" t="s">
        <v>131</v>
      </c>
      <c r="M162" s="621" t="s">
        <v>2289</v>
      </c>
      <c r="N162" s="440" t="str">
        <f ca="1" t="shared" si="30"/>
        <v>46 Tahun 11 Bulan </v>
      </c>
      <c r="O162" s="441" t="str">
        <f t="shared" si="31"/>
        <v>25 November 1978</v>
      </c>
      <c r="P162" s="434">
        <f ca="1" t="shared" si="33"/>
        <v>46</v>
      </c>
      <c r="Q162" s="434" t="str">
        <f ca="1" t="shared" si="34"/>
        <v>OKE</v>
      </c>
      <c r="R162" s="621" t="s">
        <v>2290</v>
      </c>
      <c r="S162" s="433"/>
      <c r="T162" s="620" t="s">
        <v>2291</v>
      </c>
      <c r="U162" s="434" t="s">
        <v>129</v>
      </c>
      <c r="V162" s="349" t="s">
        <v>84</v>
      </c>
      <c r="W162" s="434" t="s">
        <v>112</v>
      </c>
      <c r="X162" s="447" t="s">
        <v>2292</v>
      </c>
      <c r="Y162" s="433">
        <v>11</v>
      </c>
      <c r="Z162" s="433"/>
      <c r="AA162" s="433"/>
      <c r="AB162" s="434" t="s">
        <v>690</v>
      </c>
      <c r="AC162" s="621" t="s">
        <v>2258</v>
      </c>
      <c r="AD162" s="434" t="s">
        <v>690</v>
      </c>
      <c r="AE162" s="433"/>
      <c r="AF162" s="621" t="s">
        <v>2293</v>
      </c>
      <c r="AG162" s="433" t="s">
        <v>2294</v>
      </c>
      <c r="AH162" s="433"/>
      <c r="AI162" s="433"/>
      <c r="AJ162" s="433" t="s">
        <v>2295</v>
      </c>
      <c r="AK162" s="625" t="s">
        <v>2296</v>
      </c>
      <c r="AL162" s="115" t="str">
        <f ca="1" t="shared" si="27"/>
        <v>19 Tahun 4 Bulan </v>
      </c>
      <c r="AM162" s="434" t="s">
        <v>92</v>
      </c>
      <c r="AN162" s="434" t="s">
        <v>93</v>
      </c>
      <c r="AO162" s="434" t="s">
        <v>2297</v>
      </c>
      <c r="AP162" s="439" t="s">
        <v>838</v>
      </c>
      <c r="AQ162" s="434" t="s">
        <v>2298</v>
      </c>
      <c r="AR162" s="433"/>
      <c r="AS162" s="434" t="s">
        <v>2094</v>
      </c>
      <c r="AT162" s="433"/>
      <c r="AU162" s="434"/>
      <c r="AV162" s="623" t="s">
        <v>2299</v>
      </c>
      <c r="AW162" s="434" t="s">
        <v>100</v>
      </c>
      <c r="AX162" s="434" t="s">
        <v>2300</v>
      </c>
      <c r="AY162" s="14" t="s">
        <v>2301</v>
      </c>
      <c r="AZ162" s="433"/>
      <c r="BA162" s="433"/>
      <c r="BB162" s="434"/>
      <c r="BC162" s="433"/>
      <c r="BD162" s="483"/>
      <c r="BE162" s="483"/>
      <c r="BF162" s="483">
        <f t="shared" si="32"/>
        <v>0</v>
      </c>
      <c r="BG162" s="433"/>
      <c r="BH162" s="433" t="s">
        <v>2079</v>
      </c>
      <c r="BI162" s="434" t="s">
        <v>88</v>
      </c>
      <c r="BJ162" s="433" t="s">
        <v>2288</v>
      </c>
      <c r="BK162" s="621" t="s">
        <v>2302</v>
      </c>
      <c r="BL162" s="498"/>
    </row>
    <row r="163" s="294" customFormat="1" spans="1:64">
      <c r="A163" s="54">
        <v>158</v>
      </c>
      <c r="B163" s="620" t="s">
        <v>2303</v>
      </c>
      <c r="C163" s="434" t="s">
        <v>509</v>
      </c>
      <c r="D163" s="434" t="s">
        <v>2044</v>
      </c>
      <c r="E163" s="434" t="s">
        <v>2045</v>
      </c>
      <c r="F163" s="433"/>
      <c r="G163" s="434" t="s">
        <v>2304</v>
      </c>
      <c r="H163" s="434" t="s">
        <v>161</v>
      </c>
      <c r="I163" s="434" t="str">
        <f t="shared" si="29"/>
        <v>Ali Patau , SE</v>
      </c>
      <c r="J163" s="434" t="s">
        <v>127</v>
      </c>
      <c r="K163" s="434" t="str">
        <f t="shared" si="35"/>
        <v>Laki-laki</v>
      </c>
      <c r="L163" s="434" t="s">
        <v>450</v>
      </c>
      <c r="M163" s="442">
        <v>32501</v>
      </c>
      <c r="N163" s="440" t="str">
        <f ca="1" t="shared" si="30"/>
        <v>36 Tahun 10 Bulan </v>
      </c>
      <c r="O163" s="441" t="str">
        <f t="shared" si="31"/>
        <v>24 December 1988</v>
      </c>
      <c r="P163" s="434">
        <f ca="1" t="shared" si="33"/>
        <v>36</v>
      </c>
      <c r="Q163" s="434" t="str">
        <f ca="1" t="shared" si="34"/>
        <v>OKE</v>
      </c>
      <c r="R163" s="621" t="s">
        <v>2305</v>
      </c>
      <c r="S163" s="433"/>
      <c r="T163" s="433"/>
      <c r="U163" s="434" t="s">
        <v>129</v>
      </c>
      <c r="V163" s="349" t="s">
        <v>84</v>
      </c>
      <c r="W163" s="434" t="s">
        <v>112</v>
      </c>
      <c r="X163" s="433" t="s">
        <v>2306</v>
      </c>
      <c r="Y163" s="433">
        <v>4</v>
      </c>
      <c r="Z163" s="433"/>
      <c r="AA163" s="433"/>
      <c r="AB163" s="434" t="s">
        <v>544</v>
      </c>
      <c r="AC163" s="621" t="s">
        <v>2103</v>
      </c>
      <c r="AD163" s="434" t="s">
        <v>544</v>
      </c>
      <c r="AE163" s="433"/>
      <c r="AF163" s="621" t="s">
        <v>2307</v>
      </c>
      <c r="AG163" s="433" t="s">
        <v>2308</v>
      </c>
      <c r="AH163" s="433"/>
      <c r="AI163" s="433"/>
      <c r="AJ163" s="620" t="s">
        <v>2072</v>
      </c>
      <c r="AK163" s="622" t="s">
        <v>2073</v>
      </c>
      <c r="AL163" s="115" t="str">
        <f ca="1" t="shared" ref="AL163:AL215" si="36">+DATEDIF(AK163,NOW(),"Y")&amp;" Tahun "&amp;+DATEDIF(AK163,NOW(),"YM")&amp;" Bulan "</f>
        <v>12 Tahun 3 Bulan </v>
      </c>
      <c r="AM163" s="434" t="s">
        <v>92</v>
      </c>
      <c r="AN163" s="434" t="s">
        <v>93</v>
      </c>
      <c r="AO163" s="434" t="s">
        <v>2309</v>
      </c>
      <c r="AP163" s="439" t="s">
        <v>838</v>
      </c>
      <c r="AQ163" s="434" t="s">
        <v>2310</v>
      </c>
      <c r="AR163" s="433"/>
      <c r="AS163" s="434" t="s">
        <v>2094</v>
      </c>
      <c r="AT163" s="433"/>
      <c r="AU163" s="434"/>
      <c r="AV163" s="623" t="s">
        <v>2311</v>
      </c>
      <c r="AW163" s="434" t="s">
        <v>100</v>
      </c>
      <c r="AX163" s="434" t="s">
        <v>101</v>
      </c>
      <c r="AY163" s="434" t="s">
        <v>121</v>
      </c>
      <c r="AZ163" s="433"/>
      <c r="BA163" s="433"/>
      <c r="BB163" s="434"/>
      <c r="BC163" s="433"/>
      <c r="BD163" s="483"/>
      <c r="BE163" s="483"/>
      <c r="BF163" s="483">
        <f t="shared" si="32"/>
        <v>0</v>
      </c>
      <c r="BG163" s="433"/>
      <c r="BH163" s="433" t="s">
        <v>2079</v>
      </c>
      <c r="BI163" s="434" t="s">
        <v>88</v>
      </c>
      <c r="BJ163" s="433" t="s">
        <v>2312</v>
      </c>
      <c r="BK163" s="621" t="s">
        <v>2313</v>
      </c>
      <c r="BL163" s="498"/>
    </row>
    <row r="164" s="294" customFormat="1" spans="1:64">
      <c r="A164" s="54">
        <v>159</v>
      </c>
      <c r="B164" s="620" t="s">
        <v>2314</v>
      </c>
      <c r="C164" s="434" t="s">
        <v>509</v>
      </c>
      <c r="D164" s="434" t="s">
        <v>2044</v>
      </c>
      <c r="E164" s="434" t="s">
        <v>2045</v>
      </c>
      <c r="F164" s="433"/>
      <c r="G164" s="434" t="s">
        <v>2315</v>
      </c>
      <c r="H164" s="434" t="s">
        <v>177</v>
      </c>
      <c r="I164" s="434" t="str">
        <f t="shared" si="29"/>
        <v>Laila Sari, S.Pd</v>
      </c>
      <c r="J164" s="434" t="s">
        <v>80</v>
      </c>
      <c r="K164" s="434" t="str">
        <f t="shared" si="35"/>
        <v>Perempuan</v>
      </c>
      <c r="L164" s="434" t="s">
        <v>2316</v>
      </c>
      <c r="M164" s="442">
        <v>34555</v>
      </c>
      <c r="N164" s="440" t="str">
        <f ca="1" t="shared" si="30"/>
        <v>31 Tahun 2 Bulan </v>
      </c>
      <c r="O164" s="441" t="str">
        <f t="shared" si="31"/>
        <v>09 August 1994</v>
      </c>
      <c r="P164" s="434">
        <f ca="1" t="shared" si="33"/>
        <v>31</v>
      </c>
      <c r="Q164" s="434" t="str">
        <f ca="1" t="shared" si="34"/>
        <v>OKE</v>
      </c>
      <c r="R164" s="621" t="s">
        <v>2317</v>
      </c>
      <c r="S164" s="433"/>
      <c r="T164" s="433"/>
      <c r="U164" s="434" t="s">
        <v>129</v>
      </c>
      <c r="V164" s="349" t="s">
        <v>84</v>
      </c>
      <c r="W164" s="434" t="s">
        <v>112</v>
      </c>
      <c r="X164" s="433" t="s">
        <v>2318</v>
      </c>
      <c r="Y164" s="433">
        <v>1</v>
      </c>
      <c r="Z164" s="433"/>
      <c r="AA164" s="433"/>
      <c r="AB164" s="434" t="s">
        <v>544</v>
      </c>
      <c r="AC164" s="439">
        <v>77371</v>
      </c>
      <c r="AD164" s="434" t="s">
        <v>544</v>
      </c>
      <c r="AE164" s="433"/>
      <c r="AF164" s="621" t="s">
        <v>2319</v>
      </c>
      <c r="AG164" s="459" t="s">
        <v>2320</v>
      </c>
      <c r="AH164" s="433"/>
      <c r="AI164" s="433"/>
      <c r="AJ164" s="433" t="s">
        <v>765</v>
      </c>
      <c r="AK164" s="625" t="s">
        <v>1056</v>
      </c>
      <c r="AL164" s="115" t="str">
        <f ca="1" t="shared" si="36"/>
        <v>11 Tahun 10 Bulan </v>
      </c>
      <c r="AM164" s="434" t="s">
        <v>2139</v>
      </c>
      <c r="AN164" s="434" t="s">
        <v>93</v>
      </c>
      <c r="AO164" s="434" t="s">
        <v>2321</v>
      </c>
      <c r="AP164" s="439" t="s">
        <v>838</v>
      </c>
      <c r="AQ164" s="434" t="s">
        <v>2322</v>
      </c>
      <c r="AR164" s="433"/>
      <c r="AS164" s="434" t="s">
        <v>2323</v>
      </c>
      <c r="AT164" s="433"/>
      <c r="AU164" s="434"/>
      <c r="AV164" s="623" t="s">
        <v>2324</v>
      </c>
      <c r="AW164" s="434" t="s">
        <v>100</v>
      </c>
      <c r="AX164" s="434" t="s">
        <v>101</v>
      </c>
      <c r="AY164" s="12" t="s">
        <v>606</v>
      </c>
      <c r="AZ164" s="433"/>
      <c r="BA164" s="433"/>
      <c r="BB164" s="434"/>
      <c r="BC164" s="433"/>
      <c r="BD164" s="483"/>
      <c r="BE164" s="483"/>
      <c r="BF164" s="483">
        <f t="shared" si="32"/>
        <v>0</v>
      </c>
      <c r="BG164" s="433"/>
      <c r="BH164" s="433" t="s">
        <v>2079</v>
      </c>
      <c r="BI164" s="434" t="s">
        <v>88</v>
      </c>
      <c r="BJ164" s="433" t="s">
        <v>2315</v>
      </c>
      <c r="BK164" s="621" t="s">
        <v>2325</v>
      </c>
      <c r="BL164" s="498"/>
    </row>
    <row r="165" s="294" customFormat="1" spans="1:64">
      <c r="A165" s="54">
        <v>160</v>
      </c>
      <c r="B165" s="620" t="s">
        <v>2326</v>
      </c>
      <c r="C165" s="434" t="s">
        <v>509</v>
      </c>
      <c r="D165" s="434" t="s">
        <v>2044</v>
      </c>
      <c r="E165" s="434" t="s">
        <v>2045</v>
      </c>
      <c r="F165" s="433"/>
      <c r="G165" s="434" t="s">
        <v>2327</v>
      </c>
      <c r="H165" s="434"/>
      <c r="I165" s="434" t="str">
        <f t="shared" si="29"/>
        <v>Muhammad Tarif</v>
      </c>
      <c r="J165" s="434" t="s">
        <v>127</v>
      </c>
      <c r="K165" s="434" t="str">
        <f t="shared" si="35"/>
        <v>Laki-laki</v>
      </c>
      <c r="L165" s="434" t="s">
        <v>2181</v>
      </c>
      <c r="M165" s="621" t="s">
        <v>2328</v>
      </c>
      <c r="N165" s="440" t="str">
        <f ca="1" t="shared" si="30"/>
        <v>42 Tahun 8 Bulan </v>
      </c>
      <c r="O165" s="441" t="str">
        <f t="shared" si="31"/>
        <v>05 February 1983</v>
      </c>
      <c r="P165" s="434">
        <f ca="1" t="shared" si="33"/>
        <v>42</v>
      </c>
      <c r="Q165" s="434" t="str">
        <f ca="1" t="shared" si="34"/>
        <v>OKE</v>
      </c>
      <c r="R165" s="621" t="s">
        <v>2329</v>
      </c>
      <c r="S165" s="433"/>
      <c r="T165" s="433"/>
      <c r="U165" s="434" t="s">
        <v>274</v>
      </c>
      <c r="V165" s="349" t="s">
        <v>84</v>
      </c>
      <c r="W165" s="434" t="s">
        <v>112</v>
      </c>
      <c r="X165" s="433" t="s">
        <v>2330</v>
      </c>
      <c r="Y165" s="433">
        <v>3</v>
      </c>
      <c r="Z165" s="433"/>
      <c r="AA165" s="433"/>
      <c r="AB165" s="434" t="s">
        <v>544</v>
      </c>
      <c r="AC165" s="621" t="s">
        <v>2103</v>
      </c>
      <c r="AD165" s="434" t="s">
        <v>544</v>
      </c>
      <c r="AE165" s="433"/>
      <c r="AF165" s="621" t="s">
        <v>2331</v>
      </c>
      <c r="AG165" s="459" t="s">
        <v>2332</v>
      </c>
      <c r="AH165" s="433"/>
      <c r="AI165" s="433"/>
      <c r="AJ165" s="620" t="s">
        <v>2333</v>
      </c>
      <c r="AK165" s="622" t="s">
        <v>2334</v>
      </c>
      <c r="AL165" s="115" t="str">
        <f ca="1" t="shared" si="36"/>
        <v>10 Tahun 10 Bulan </v>
      </c>
      <c r="AM165" s="434" t="s">
        <v>92</v>
      </c>
      <c r="AN165" s="434" t="s">
        <v>93</v>
      </c>
      <c r="AO165" s="434" t="s">
        <v>2335</v>
      </c>
      <c r="AP165" s="439" t="s">
        <v>838</v>
      </c>
      <c r="AQ165" s="434" t="s">
        <v>2336</v>
      </c>
      <c r="AR165" s="433"/>
      <c r="AS165" s="434" t="s">
        <v>2094</v>
      </c>
      <c r="AT165" s="433"/>
      <c r="AU165" s="434"/>
      <c r="AV165" s="623" t="s">
        <v>2337</v>
      </c>
      <c r="AW165" s="434" t="s">
        <v>100</v>
      </c>
      <c r="AX165" s="434" t="s">
        <v>120</v>
      </c>
      <c r="AY165" s="434" t="s">
        <v>234</v>
      </c>
      <c r="AZ165" s="433"/>
      <c r="BA165" s="433"/>
      <c r="BB165" s="434"/>
      <c r="BC165" s="433"/>
      <c r="BD165" s="483"/>
      <c r="BE165" s="483"/>
      <c r="BF165" s="483">
        <f t="shared" si="32"/>
        <v>0</v>
      </c>
      <c r="BG165" s="433"/>
      <c r="BH165" s="433" t="s">
        <v>2079</v>
      </c>
      <c r="BI165" s="434" t="s">
        <v>88</v>
      </c>
      <c r="BJ165" s="434" t="s">
        <v>2327</v>
      </c>
      <c r="BK165" s="621" t="s">
        <v>2338</v>
      </c>
      <c r="BL165" s="498"/>
    </row>
    <row r="166" s="294" customFormat="1" spans="1:64">
      <c r="A166" s="54">
        <v>161</v>
      </c>
      <c r="B166" s="620" t="s">
        <v>2339</v>
      </c>
      <c r="C166" s="434" t="s">
        <v>509</v>
      </c>
      <c r="D166" s="434" t="s">
        <v>2044</v>
      </c>
      <c r="E166" s="434" t="s">
        <v>2045</v>
      </c>
      <c r="F166" s="433"/>
      <c r="G166" s="434" t="s">
        <v>2340</v>
      </c>
      <c r="H166" s="434"/>
      <c r="I166" s="434" t="str">
        <f t="shared" si="29"/>
        <v>Norhasanah</v>
      </c>
      <c r="J166" s="434" t="s">
        <v>80</v>
      </c>
      <c r="K166" s="434" t="str">
        <f t="shared" si="35"/>
        <v>Perempuan</v>
      </c>
      <c r="L166" s="434" t="s">
        <v>2316</v>
      </c>
      <c r="M166" s="442">
        <v>31933</v>
      </c>
      <c r="N166" s="440" t="str">
        <f ca="1" t="shared" si="30"/>
        <v>38 Tahun 4 Bulan </v>
      </c>
      <c r="O166" s="441" t="str">
        <f t="shared" si="31"/>
        <v>05 June 1987</v>
      </c>
      <c r="P166" s="434">
        <f ca="1" t="shared" si="33"/>
        <v>38</v>
      </c>
      <c r="Q166" s="434" t="str">
        <f ca="1" t="shared" si="34"/>
        <v>OKE</v>
      </c>
      <c r="R166" s="621" t="s">
        <v>2341</v>
      </c>
      <c r="S166" s="433"/>
      <c r="T166" s="433"/>
      <c r="U166" s="434" t="s">
        <v>129</v>
      </c>
      <c r="V166" s="349" t="s">
        <v>84</v>
      </c>
      <c r="W166" s="434" t="s">
        <v>112</v>
      </c>
      <c r="X166" s="433" t="s">
        <v>2342</v>
      </c>
      <c r="Y166" s="433">
        <v>2</v>
      </c>
      <c r="Z166" s="433"/>
      <c r="AA166" s="433"/>
      <c r="AB166" s="434" t="s">
        <v>544</v>
      </c>
      <c r="AC166" s="439">
        <v>77371</v>
      </c>
      <c r="AD166" s="434" t="s">
        <v>544</v>
      </c>
      <c r="AE166" s="433"/>
      <c r="AF166" s="621" t="s">
        <v>2343</v>
      </c>
      <c r="AG166" s="459" t="s">
        <v>2344</v>
      </c>
      <c r="AH166" s="433"/>
      <c r="AI166" s="433"/>
      <c r="AJ166" s="620" t="s">
        <v>2072</v>
      </c>
      <c r="AK166" s="622" t="s">
        <v>2073</v>
      </c>
      <c r="AL166" s="115" t="str">
        <f ca="1" t="shared" si="36"/>
        <v>12 Tahun 3 Bulan </v>
      </c>
      <c r="AM166" s="434" t="s">
        <v>92</v>
      </c>
      <c r="AN166" s="434" t="s">
        <v>93</v>
      </c>
      <c r="AO166" s="434" t="s">
        <v>2345</v>
      </c>
      <c r="AP166" s="439" t="s">
        <v>1659</v>
      </c>
      <c r="AQ166" s="434"/>
      <c r="AR166" s="433"/>
      <c r="AS166" s="434"/>
      <c r="AT166" s="433"/>
      <c r="AU166" s="434"/>
      <c r="AV166" s="623" t="s">
        <v>2346</v>
      </c>
      <c r="AW166" s="434" t="s">
        <v>100</v>
      </c>
      <c r="AX166" s="434" t="s">
        <v>120</v>
      </c>
      <c r="AY166" s="434" t="s">
        <v>234</v>
      </c>
      <c r="AZ166" s="433"/>
      <c r="BA166" s="433"/>
      <c r="BB166" s="434"/>
      <c r="BC166" s="433"/>
      <c r="BD166" s="483"/>
      <c r="BE166" s="483"/>
      <c r="BF166" s="483">
        <f t="shared" si="32"/>
        <v>0</v>
      </c>
      <c r="BG166" s="433"/>
      <c r="BH166" s="433" t="s">
        <v>2079</v>
      </c>
      <c r="BI166" s="434" t="s">
        <v>88</v>
      </c>
      <c r="BJ166" s="433" t="s">
        <v>2340</v>
      </c>
      <c r="BK166" s="621" t="s">
        <v>2347</v>
      </c>
      <c r="BL166" s="498"/>
    </row>
    <row r="167" s="43" customFormat="1" ht="20.1" customHeight="1" spans="1:255">
      <c r="A167" s="54">
        <v>162</v>
      </c>
      <c r="B167" s="89">
        <v>4918</v>
      </c>
      <c r="C167" s="89" t="s">
        <v>2348</v>
      </c>
      <c r="D167" s="89" t="s">
        <v>76</v>
      </c>
      <c r="E167" s="89" t="s">
        <v>2349</v>
      </c>
      <c r="F167" s="90"/>
      <c r="G167" s="91" t="s">
        <v>2350</v>
      </c>
      <c r="H167" s="89" t="s">
        <v>177</v>
      </c>
      <c r="I167" s="102" t="str">
        <f t="shared" si="29"/>
        <v>Bahrudin, S.Pd</v>
      </c>
      <c r="J167" s="89" t="s">
        <v>127</v>
      </c>
      <c r="K167" s="102" t="str">
        <f t="shared" si="35"/>
        <v>Laki-laki</v>
      </c>
      <c r="L167" s="91" t="s">
        <v>2351</v>
      </c>
      <c r="M167" s="162">
        <v>31847</v>
      </c>
      <c r="N167" s="155" t="str">
        <f ca="1" t="shared" si="30"/>
        <v>38 Tahun 7 Bulan </v>
      </c>
      <c r="O167" s="162" t="s">
        <v>2352</v>
      </c>
      <c r="P167" s="105" t="e">
        <f ca="1" t="shared" si="33"/>
        <v>#VALUE!</v>
      </c>
      <c r="Q167" s="105" t="e">
        <f ca="1" t="shared" si="34"/>
        <v>#VALUE!</v>
      </c>
      <c r="R167" s="626" t="s">
        <v>2353</v>
      </c>
      <c r="S167" s="90"/>
      <c r="T167" s="89"/>
      <c r="U167" s="89" t="s">
        <v>83</v>
      </c>
      <c r="V167" s="91" t="s">
        <v>84</v>
      </c>
      <c r="W167" s="89" t="s">
        <v>112</v>
      </c>
      <c r="X167" s="449" t="s">
        <v>2354</v>
      </c>
      <c r="Y167" s="194">
        <v>7</v>
      </c>
      <c r="Z167" s="249"/>
      <c r="AA167" s="249"/>
      <c r="AB167" s="449" t="s">
        <v>2355</v>
      </c>
      <c r="AC167" s="194">
        <v>77353</v>
      </c>
      <c r="AD167" s="449" t="s">
        <v>131</v>
      </c>
      <c r="AE167" s="249"/>
      <c r="AF167" s="627" t="s">
        <v>2356</v>
      </c>
      <c r="AG167" s="464" t="s">
        <v>2357</v>
      </c>
      <c r="AH167" s="249"/>
      <c r="AI167" s="249"/>
      <c r="AJ167" s="249" t="s">
        <v>2358</v>
      </c>
      <c r="AK167" s="250" t="s">
        <v>2359</v>
      </c>
      <c r="AL167" s="235" t="e">
        <f ca="1" t="shared" si="36"/>
        <v>#VALUE!</v>
      </c>
      <c r="AM167" s="449" t="s">
        <v>2360</v>
      </c>
      <c r="AN167" s="194" t="s">
        <v>93</v>
      </c>
      <c r="AO167" s="449" t="s">
        <v>2361</v>
      </c>
      <c r="AP167" s="194">
        <v>1</v>
      </c>
      <c r="AQ167" s="249" t="s">
        <v>2362</v>
      </c>
      <c r="AR167" s="627" t="s">
        <v>2363</v>
      </c>
      <c r="AS167" s="449" t="s">
        <v>328</v>
      </c>
      <c r="AT167" s="484"/>
      <c r="AU167" s="485" t="s">
        <v>883</v>
      </c>
      <c r="AV167" s="194" t="s">
        <v>2364</v>
      </c>
      <c r="AW167" s="485" t="s">
        <v>100</v>
      </c>
      <c r="AX167" s="454" t="s">
        <v>101</v>
      </c>
      <c r="AY167" s="451" t="s">
        <v>686</v>
      </c>
      <c r="AZ167" s="90"/>
      <c r="BA167" s="90"/>
      <c r="BB167" s="56" t="s">
        <v>2365</v>
      </c>
      <c r="BC167" s="451" t="s">
        <v>686</v>
      </c>
      <c r="BD167" s="491"/>
      <c r="BE167" s="194">
        <v>26</v>
      </c>
      <c r="BF167" s="194">
        <v>26</v>
      </c>
      <c r="BG167" s="451" t="s">
        <v>686</v>
      </c>
      <c r="BH167" s="89" t="s">
        <v>301</v>
      </c>
      <c r="BI167" s="91" t="s">
        <v>2366</v>
      </c>
      <c r="BJ167" s="90" t="s">
        <v>2367</v>
      </c>
      <c r="BK167" s="89">
        <v>1192026837</v>
      </c>
      <c r="BL167" s="499"/>
      <c r="BM167" s="491"/>
      <c r="BN167" s="491"/>
      <c r="BO167" s="491"/>
      <c r="BP167" s="491"/>
      <c r="BQ167" s="491"/>
      <c r="BR167" s="491"/>
      <c r="BS167" s="491"/>
      <c r="BT167" s="491"/>
      <c r="BU167" s="491"/>
      <c r="BV167" s="491"/>
      <c r="BW167" s="491"/>
      <c r="BX167" s="491"/>
      <c r="BY167" s="491"/>
      <c r="BZ167" s="491"/>
      <c r="CA167" s="491"/>
      <c r="CB167" s="491"/>
      <c r="CC167" s="491"/>
      <c r="CD167" s="491"/>
      <c r="CE167" s="491"/>
      <c r="CF167" s="491"/>
      <c r="CG167" s="491"/>
      <c r="CH167" s="491"/>
      <c r="CI167" s="491"/>
      <c r="CJ167" s="491"/>
      <c r="CK167" s="491"/>
      <c r="CL167" s="491"/>
      <c r="CM167" s="491"/>
      <c r="CN167" s="491"/>
      <c r="CO167" s="491"/>
      <c r="CP167" s="491"/>
      <c r="CQ167" s="491"/>
      <c r="CR167" s="491"/>
      <c r="CS167" s="491"/>
      <c r="CT167" s="491"/>
      <c r="CU167" s="491"/>
      <c r="CV167" s="491"/>
      <c r="CW167" s="491"/>
      <c r="CX167" s="491"/>
      <c r="CY167" s="491"/>
      <c r="CZ167" s="491"/>
      <c r="DA167" s="491"/>
      <c r="DB167" s="491"/>
      <c r="DC167" s="491"/>
      <c r="DD167" s="491"/>
      <c r="DE167" s="491"/>
      <c r="DF167" s="491"/>
      <c r="DG167" s="491"/>
      <c r="DH167" s="491"/>
      <c r="DI167" s="491"/>
      <c r="DJ167" s="491"/>
      <c r="DK167" s="491"/>
      <c r="DL167" s="491"/>
      <c r="DM167" s="491"/>
      <c r="DN167" s="491"/>
      <c r="DO167" s="491"/>
      <c r="DP167" s="491"/>
      <c r="DQ167" s="491"/>
      <c r="DR167" s="491"/>
      <c r="DS167" s="491"/>
      <c r="DT167" s="491"/>
      <c r="DU167" s="491"/>
      <c r="DV167" s="491"/>
      <c r="DW167" s="491"/>
      <c r="DX167" s="491"/>
      <c r="DY167" s="491"/>
      <c r="DZ167" s="491"/>
      <c r="EA167" s="491"/>
      <c r="EB167" s="491"/>
      <c r="EC167" s="491"/>
      <c r="ED167" s="491"/>
      <c r="EE167" s="491"/>
      <c r="EF167" s="491"/>
      <c r="EG167" s="491"/>
      <c r="EH167" s="491"/>
      <c r="EI167" s="491"/>
      <c r="EJ167" s="491"/>
      <c r="EK167" s="491"/>
      <c r="EL167" s="491"/>
      <c r="EM167" s="491"/>
      <c r="EN167" s="491"/>
      <c r="EO167" s="491"/>
      <c r="EP167" s="491"/>
      <c r="EQ167" s="491"/>
      <c r="ER167" s="491"/>
      <c r="ES167" s="491"/>
      <c r="ET167" s="491"/>
      <c r="EU167" s="491"/>
      <c r="EV167" s="491"/>
      <c r="EW167" s="491"/>
      <c r="EX167" s="491"/>
      <c r="EY167" s="491"/>
      <c r="EZ167" s="491"/>
      <c r="FA167" s="491"/>
      <c r="FB167" s="491"/>
      <c r="FC167" s="491"/>
      <c r="FD167" s="491"/>
      <c r="FE167" s="491"/>
      <c r="FF167" s="491"/>
      <c r="FG167" s="491"/>
      <c r="FH167" s="491"/>
      <c r="FI167" s="491"/>
      <c r="FJ167" s="491"/>
      <c r="FK167" s="491"/>
      <c r="FL167" s="491"/>
      <c r="FM167" s="491"/>
      <c r="FN167" s="491"/>
      <c r="FO167" s="491"/>
      <c r="FP167" s="491"/>
      <c r="FQ167" s="491"/>
      <c r="FR167" s="491"/>
      <c r="FS167" s="491"/>
      <c r="FT167" s="491"/>
      <c r="FU167" s="491"/>
      <c r="FV167" s="491"/>
      <c r="FW167" s="491"/>
      <c r="FX167" s="491"/>
      <c r="FY167" s="491"/>
      <c r="FZ167" s="491"/>
      <c r="GA167" s="491"/>
      <c r="GB167" s="491"/>
      <c r="GC167" s="491"/>
      <c r="GD167" s="491"/>
      <c r="GE167" s="491"/>
      <c r="GF167" s="491"/>
      <c r="GG167" s="491"/>
      <c r="GH167" s="491"/>
      <c r="GI167" s="491"/>
      <c r="GJ167" s="491"/>
      <c r="GK167" s="491"/>
      <c r="GL167" s="491"/>
      <c r="GM167" s="491"/>
      <c r="GN167" s="491"/>
      <c r="GO167" s="491"/>
      <c r="GP167" s="491"/>
      <c r="GQ167" s="491"/>
      <c r="GR167" s="491"/>
      <c r="GS167" s="491"/>
      <c r="GT167" s="491"/>
      <c r="GU167" s="491"/>
      <c r="GV167" s="491"/>
      <c r="GW167" s="491"/>
      <c r="GX167" s="491"/>
      <c r="GY167" s="491"/>
      <c r="GZ167" s="491"/>
      <c r="HA167" s="491"/>
      <c r="HB167" s="491"/>
      <c r="HC167" s="491"/>
      <c r="HD167" s="491"/>
      <c r="HE167" s="491"/>
      <c r="HF167" s="491"/>
      <c r="HG167" s="491"/>
      <c r="HH167" s="491"/>
      <c r="HI167" s="491"/>
      <c r="HJ167" s="491"/>
      <c r="HK167" s="491"/>
      <c r="HL167" s="491"/>
      <c r="HM167" s="491"/>
      <c r="HN167" s="491"/>
      <c r="HO167" s="491"/>
      <c r="HP167" s="491"/>
      <c r="HQ167" s="491"/>
      <c r="HR167" s="491"/>
      <c r="HS167" s="491"/>
      <c r="HT167" s="491"/>
      <c r="HU167" s="491"/>
      <c r="HV167" s="491"/>
      <c r="HW167" s="491"/>
      <c r="HX167" s="491"/>
      <c r="HY167" s="491"/>
      <c r="HZ167" s="491"/>
      <c r="IA167" s="491"/>
      <c r="IB167" s="491"/>
      <c r="IC167" s="491"/>
      <c r="ID167" s="491"/>
      <c r="IE167" s="491"/>
      <c r="IF167" s="491"/>
      <c r="IG167" s="491"/>
      <c r="IH167" s="491"/>
      <c r="II167" s="491"/>
      <c r="IJ167" s="491"/>
      <c r="IK167" s="491"/>
      <c r="IL167" s="491"/>
      <c r="IM167" s="491"/>
      <c r="IN167" s="491"/>
      <c r="IO167" s="491"/>
      <c r="IP167" s="491"/>
      <c r="IQ167" s="491"/>
      <c r="IR167" s="491"/>
      <c r="IS167" s="491"/>
      <c r="IT167" s="491"/>
      <c r="IU167" s="491"/>
    </row>
    <row r="168" s="43" customFormat="1" ht="20.1" customHeight="1" spans="1:255">
      <c r="A168" s="54">
        <v>163</v>
      </c>
      <c r="B168" s="89">
        <v>4919</v>
      </c>
      <c r="C168" s="89" t="s">
        <v>2348</v>
      </c>
      <c r="D168" s="89" t="s">
        <v>76</v>
      </c>
      <c r="E168" s="89" t="s">
        <v>2349</v>
      </c>
      <c r="F168" s="90"/>
      <c r="G168" s="91" t="s">
        <v>1769</v>
      </c>
      <c r="H168" s="89" t="s">
        <v>177</v>
      </c>
      <c r="I168" s="102" t="str">
        <f t="shared" si="29"/>
        <v>Intan Prihatini, S.Pd</v>
      </c>
      <c r="J168" s="89" t="s">
        <v>80</v>
      </c>
      <c r="K168" s="102" t="str">
        <f t="shared" si="35"/>
        <v>Perempuan</v>
      </c>
      <c r="L168" s="91" t="s">
        <v>2368</v>
      </c>
      <c r="M168" s="162">
        <v>33018</v>
      </c>
      <c r="N168" s="155" t="str">
        <f ca="1" t="shared" si="30"/>
        <v>35 Tahun 5 Bulan </v>
      </c>
      <c r="O168" s="162" t="s">
        <v>2369</v>
      </c>
      <c r="P168" s="105" t="e">
        <f ca="1" t="shared" si="33"/>
        <v>#VALUE!</v>
      </c>
      <c r="Q168" s="105" t="e">
        <f ca="1" t="shared" si="34"/>
        <v>#VALUE!</v>
      </c>
      <c r="R168" s="628" t="s">
        <v>2370</v>
      </c>
      <c r="S168" s="90"/>
      <c r="T168" s="89"/>
      <c r="U168" s="89" t="s">
        <v>83</v>
      </c>
      <c r="V168" s="91" t="s">
        <v>84</v>
      </c>
      <c r="W168" s="89" t="s">
        <v>112</v>
      </c>
      <c r="X168" s="56" t="s">
        <v>2371</v>
      </c>
      <c r="Y168" s="194">
        <v>2</v>
      </c>
      <c r="Z168" s="249"/>
      <c r="AA168" s="249"/>
      <c r="AB168" s="449" t="s">
        <v>1757</v>
      </c>
      <c r="AC168" s="194">
        <v>77375</v>
      </c>
      <c r="AD168" s="449" t="s">
        <v>1780</v>
      </c>
      <c r="AE168" s="249"/>
      <c r="AF168" s="629" t="s">
        <v>2372</v>
      </c>
      <c r="AG168" s="465" t="s">
        <v>2373</v>
      </c>
      <c r="AH168" s="249"/>
      <c r="AI168" s="249"/>
      <c r="AJ168" s="249" t="s">
        <v>2358</v>
      </c>
      <c r="AK168" s="250" t="s">
        <v>2359</v>
      </c>
      <c r="AL168" s="235" t="e">
        <f ca="1" t="shared" si="36"/>
        <v>#VALUE!</v>
      </c>
      <c r="AM168" s="449" t="s">
        <v>2360</v>
      </c>
      <c r="AN168" s="194" t="s">
        <v>93</v>
      </c>
      <c r="AO168" s="449" t="s">
        <v>2374</v>
      </c>
      <c r="AP168" s="194">
        <v>1</v>
      </c>
      <c r="AQ168" s="249" t="s">
        <v>2375</v>
      </c>
      <c r="AR168" s="486"/>
      <c r="AS168" s="449" t="s">
        <v>2376</v>
      </c>
      <c r="AT168" s="249"/>
      <c r="AU168" s="485" t="s">
        <v>883</v>
      </c>
      <c r="AV168" s="194" t="s">
        <v>2377</v>
      </c>
      <c r="AW168" s="485" t="s">
        <v>100</v>
      </c>
      <c r="AX168" s="454" t="s">
        <v>101</v>
      </c>
      <c r="AY168" s="451" t="s">
        <v>358</v>
      </c>
      <c r="AZ168" s="249"/>
      <c r="BA168" s="249"/>
      <c r="BB168" s="484" t="s">
        <v>406</v>
      </c>
      <c r="BC168" s="451" t="s">
        <v>358</v>
      </c>
      <c r="BD168" s="249"/>
      <c r="BE168" s="194">
        <v>14</v>
      </c>
      <c r="BF168" s="194">
        <v>14</v>
      </c>
      <c r="BG168" s="451" t="s">
        <v>358</v>
      </c>
      <c r="BH168" s="89" t="s">
        <v>301</v>
      </c>
      <c r="BI168" s="91" t="s">
        <v>2366</v>
      </c>
      <c r="BJ168" s="90" t="s">
        <v>2378</v>
      </c>
      <c r="BK168" s="89">
        <v>1197000593</v>
      </c>
      <c r="BL168" s="499"/>
      <c r="BM168" s="491"/>
      <c r="BN168" s="491"/>
      <c r="BO168" s="491"/>
      <c r="BP168" s="491"/>
      <c r="BQ168" s="491"/>
      <c r="BR168" s="491"/>
      <c r="BS168" s="491"/>
      <c r="BT168" s="491"/>
      <c r="BU168" s="491"/>
      <c r="BV168" s="491"/>
      <c r="BW168" s="491"/>
      <c r="BX168" s="491"/>
      <c r="BY168" s="491"/>
      <c r="BZ168" s="491"/>
      <c r="CA168" s="491"/>
      <c r="CB168" s="491"/>
      <c r="CC168" s="491"/>
      <c r="CD168" s="491"/>
      <c r="CE168" s="491"/>
      <c r="CF168" s="491"/>
      <c r="CG168" s="491"/>
      <c r="CH168" s="491"/>
      <c r="CI168" s="491"/>
      <c r="CJ168" s="491"/>
      <c r="CK168" s="491"/>
      <c r="CL168" s="491"/>
      <c r="CM168" s="491"/>
      <c r="CN168" s="491"/>
      <c r="CO168" s="491"/>
      <c r="CP168" s="491"/>
      <c r="CQ168" s="491"/>
      <c r="CR168" s="491"/>
      <c r="CS168" s="491"/>
      <c r="CT168" s="491"/>
      <c r="CU168" s="491"/>
      <c r="CV168" s="491"/>
      <c r="CW168" s="491"/>
      <c r="CX168" s="491"/>
      <c r="CY168" s="491"/>
      <c r="CZ168" s="491"/>
      <c r="DA168" s="491"/>
      <c r="DB168" s="491"/>
      <c r="DC168" s="491"/>
      <c r="DD168" s="491"/>
      <c r="DE168" s="491"/>
      <c r="DF168" s="491"/>
      <c r="DG168" s="491"/>
      <c r="DH168" s="491"/>
      <c r="DI168" s="491"/>
      <c r="DJ168" s="491"/>
      <c r="DK168" s="491"/>
      <c r="DL168" s="491"/>
      <c r="DM168" s="491"/>
      <c r="DN168" s="491"/>
      <c r="DO168" s="491"/>
      <c r="DP168" s="491"/>
      <c r="DQ168" s="491"/>
      <c r="DR168" s="491"/>
      <c r="DS168" s="491"/>
      <c r="DT168" s="491"/>
      <c r="DU168" s="491"/>
      <c r="DV168" s="491"/>
      <c r="DW168" s="491"/>
      <c r="DX168" s="491"/>
      <c r="DY168" s="491"/>
      <c r="DZ168" s="491"/>
      <c r="EA168" s="491"/>
      <c r="EB168" s="491"/>
      <c r="EC168" s="491"/>
      <c r="ED168" s="491"/>
      <c r="EE168" s="491"/>
      <c r="EF168" s="491"/>
      <c r="EG168" s="491"/>
      <c r="EH168" s="491"/>
      <c r="EI168" s="491"/>
      <c r="EJ168" s="491"/>
      <c r="EK168" s="491"/>
      <c r="EL168" s="491"/>
      <c r="EM168" s="491"/>
      <c r="EN168" s="491"/>
      <c r="EO168" s="491"/>
      <c r="EP168" s="491"/>
      <c r="EQ168" s="491"/>
      <c r="ER168" s="491"/>
      <c r="ES168" s="491"/>
      <c r="ET168" s="491"/>
      <c r="EU168" s="491"/>
      <c r="EV168" s="491"/>
      <c r="EW168" s="491"/>
      <c r="EX168" s="491"/>
      <c r="EY168" s="491"/>
      <c r="EZ168" s="491"/>
      <c r="FA168" s="491"/>
      <c r="FB168" s="491"/>
      <c r="FC168" s="491"/>
      <c r="FD168" s="491"/>
      <c r="FE168" s="491"/>
      <c r="FF168" s="491"/>
      <c r="FG168" s="491"/>
      <c r="FH168" s="491"/>
      <c r="FI168" s="491"/>
      <c r="FJ168" s="491"/>
      <c r="FK168" s="491"/>
      <c r="FL168" s="491"/>
      <c r="FM168" s="491"/>
      <c r="FN168" s="491"/>
      <c r="FO168" s="491"/>
      <c r="FP168" s="491"/>
      <c r="FQ168" s="491"/>
      <c r="FR168" s="491"/>
      <c r="FS168" s="491"/>
      <c r="FT168" s="491"/>
      <c r="FU168" s="491"/>
      <c r="FV168" s="491"/>
      <c r="FW168" s="491"/>
      <c r="FX168" s="491"/>
      <c r="FY168" s="491"/>
      <c r="FZ168" s="491"/>
      <c r="GA168" s="491"/>
      <c r="GB168" s="491"/>
      <c r="GC168" s="491"/>
      <c r="GD168" s="491"/>
      <c r="GE168" s="491"/>
      <c r="GF168" s="491"/>
      <c r="GG168" s="491"/>
      <c r="GH168" s="491"/>
      <c r="GI168" s="491"/>
      <c r="GJ168" s="491"/>
      <c r="GK168" s="491"/>
      <c r="GL168" s="491"/>
      <c r="GM168" s="491"/>
      <c r="GN168" s="491"/>
      <c r="GO168" s="491"/>
      <c r="GP168" s="491"/>
      <c r="GQ168" s="491"/>
      <c r="GR168" s="491"/>
      <c r="GS168" s="491"/>
      <c r="GT168" s="491"/>
      <c r="GU168" s="491"/>
      <c r="GV168" s="491"/>
      <c r="GW168" s="491"/>
      <c r="GX168" s="491"/>
      <c r="GY168" s="491"/>
      <c r="GZ168" s="491"/>
      <c r="HA168" s="491"/>
      <c r="HB168" s="491"/>
      <c r="HC168" s="491"/>
      <c r="HD168" s="491"/>
      <c r="HE168" s="491"/>
      <c r="HF168" s="491"/>
      <c r="HG168" s="491"/>
      <c r="HH168" s="491"/>
      <c r="HI168" s="491"/>
      <c r="HJ168" s="491"/>
      <c r="HK168" s="491"/>
      <c r="HL168" s="491"/>
      <c r="HM168" s="491"/>
      <c r="HN168" s="491"/>
      <c r="HO168" s="491"/>
      <c r="HP168" s="491"/>
      <c r="HQ168" s="491"/>
      <c r="HR168" s="491"/>
      <c r="HS168" s="491"/>
      <c r="HT168" s="491"/>
      <c r="HU168" s="491"/>
      <c r="HV168" s="491"/>
      <c r="HW168" s="491"/>
      <c r="HX168" s="491"/>
      <c r="HY168" s="491"/>
      <c r="HZ168" s="491"/>
      <c r="IA168" s="491"/>
      <c r="IB168" s="491"/>
      <c r="IC168" s="491"/>
      <c r="ID168" s="491"/>
      <c r="IE168" s="491"/>
      <c r="IF168" s="491"/>
      <c r="IG168" s="491"/>
      <c r="IH168" s="491"/>
      <c r="II168" s="491"/>
      <c r="IJ168" s="491"/>
      <c r="IK168" s="491"/>
      <c r="IL168" s="491"/>
      <c r="IM168" s="491"/>
      <c r="IN168" s="491"/>
      <c r="IO168" s="491"/>
      <c r="IP168" s="491"/>
      <c r="IQ168" s="491"/>
      <c r="IR168" s="491"/>
      <c r="IS168" s="491"/>
      <c r="IT168" s="491"/>
      <c r="IU168" s="491"/>
    </row>
    <row r="169" s="43" customFormat="1" ht="20.1" customHeight="1" spans="1:255">
      <c r="A169" s="54">
        <v>164</v>
      </c>
      <c r="B169" s="89">
        <v>4920</v>
      </c>
      <c r="C169" s="89" t="s">
        <v>2348</v>
      </c>
      <c r="D169" s="89" t="s">
        <v>76</v>
      </c>
      <c r="E169" s="89" t="s">
        <v>2349</v>
      </c>
      <c r="F169" s="90"/>
      <c r="G169" s="91" t="s">
        <v>2379</v>
      </c>
      <c r="H169" s="89" t="s">
        <v>177</v>
      </c>
      <c r="I169" s="102" t="str">
        <f t="shared" si="29"/>
        <v>Darwin, S.Pd</v>
      </c>
      <c r="J169" s="89" t="s">
        <v>127</v>
      </c>
      <c r="K169" s="102" t="str">
        <f t="shared" si="35"/>
        <v>Laki-laki</v>
      </c>
      <c r="L169" s="91" t="s">
        <v>2380</v>
      </c>
      <c r="M169" s="162">
        <v>32325</v>
      </c>
      <c r="N169" s="155" t="str">
        <f ca="1" t="shared" si="30"/>
        <v>37 Tahun 4 Bulan </v>
      </c>
      <c r="O169" s="162" t="s">
        <v>2381</v>
      </c>
      <c r="P169" s="105" t="e">
        <f ca="1" t="shared" si="33"/>
        <v>#VALUE!</v>
      </c>
      <c r="Q169" s="105" t="e">
        <f ca="1" t="shared" si="34"/>
        <v>#VALUE!</v>
      </c>
      <c r="R169" s="628" t="s">
        <v>2382</v>
      </c>
      <c r="S169" s="90"/>
      <c r="T169" s="89"/>
      <c r="U169" s="89" t="s">
        <v>83</v>
      </c>
      <c r="V169" s="91" t="s">
        <v>84</v>
      </c>
      <c r="W169" s="89" t="s">
        <v>337</v>
      </c>
      <c r="X169" s="449" t="s">
        <v>2383</v>
      </c>
      <c r="Y169" s="454">
        <v>1</v>
      </c>
      <c r="Z169" s="249"/>
      <c r="AA169" s="249"/>
      <c r="AB169" s="449" t="s">
        <v>2384</v>
      </c>
      <c r="AC169" s="194">
        <v>77375</v>
      </c>
      <c r="AD169" s="449" t="s">
        <v>1780</v>
      </c>
      <c r="AE169" s="249"/>
      <c r="AF169" s="627" t="s">
        <v>2385</v>
      </c>
      <c r="AG169" s="464" t="s">
        <v>2386</v>
      </c>
      <c r="AH169" s="249"/>
      <c r="AI169" s="249"/>
      <c r="AJ169" s="249" t="s">
        <v>2358</v>
      </c>
      <c r="AK169" s="250" t="s">
        <v>2359</v>
      </c>
      <c r="AL169" s="235" t="e">
        <f ca="1" t="shared" si="36"/>
        <v>#VALUE!</v>
      </c>
      <c r="AM169" s="449" t="s">
        <v>2360</v>
      </c>
      <c r="AN169" s="194" t="s">
        <v>93</v>
      </c>
      <c r="AO169" s="449" t="s">
        <v>2387</v>
      </c>
      <c r="AP169" s="194">
        <v>2</v>
      </c>
      <c r="AQ169" s="249"/>
      <c r="AR169" s="486"/>
      <c r="AS169" s="249"/>
      <c r="AT169" s="249"/>
      <c r="AU169" s="485" t="s">
        <v>883</v>
      </c>
      <c r="AV169" s="194" t="s">
        <v>2388</v>
      </c>
      <c r="AW169" s="485" t="s">
        <v>100</v>
      </c>
      <c r="AX169" s="454" t="s">
        <v>101</v>
      </c>
      <c r="AY169" s="451" t="s">
        <v>1214</v>
      </c>
      <c r="AZ169" s="249"/>
      <c r="BA169" s="249"/>
      <c r="BB169" s="249" t="s">
        <v>2389</v>
      </c>
      <c r="BC169" s="492" t="s">
        <v>2390</v>
      </c>
      <c r="BD169" s="451"/>
      <c r="BE169" s="194">
        <v>15</v>
      </c>
      <c r="BF169" s="194">
        <v>15</v>
      </c>
      <c r="BG169" s="451" t="s">
        <v>1214</v>
      </c>
      <c r="BH169" s="89" t="s">
        <v>301</v>
      </c>
      <c r="BI169" s="91" t="s">
        <v>1772</v>
      </c>
      <c r="BJ169" s="90" t="s">
        <v>2391</v>
      </c>
      <c r="BK169" s="89">
        <v>1712012923</v>
      </c>
      <c r="BL169" s="499"/>
      <c r="BM169" s="491"/>
      <c r="BN169" s="491"/>
      <c r="BO169" s="491"/>
      <c r="BP169" s="491"/>
      <c r="BQ169" s="491"/>
      <c r="BR169" s="491"/>
      <c r="BS169" s="491"/>
      <c r="BT169" s="491"/>
      <c r="BU169" s="491"/>
      <c r="BV169" s="491"/>
      <c r="BW169" s="491"/>
      <c r="BX169" s="491"/>
      <c r="BY169" s="491"/>
      <c r="BZ169" s="491"/>
      <c r="CA169" s="491"/>
      <c r="CB169" s="491"/>
      <c r="CC169" s="491"/>
      <c r="CD169" s="491"/>
      <c r="CE169" s="491"/>
      <c r="CF169" s="491"/>
      <c r="CG169" s="491"/>
      <c r="CH169" s="491"/>
      <c r="CI169" s="491"/>
      <c r="CJ169" s="491"/>
      <c r="CK169" s="491"/>
      <c r="CL169" s="491"/>
      <c r="CM169" s="491"/>
      <c r="CN169" s="491"/>
      <c r="CO169" s="491"/>
      <c r="CP169" s="491"/>
      <c r="CQ169" s="491"/>
      <c r="CR169" s="491"/>
      <c r="CS169" s="491"/>
      <c r="CT169" s="491"/>
      <c r="CU169" s="491"/>
      <c r="CV169" s="491"/>
      <c r="CW169" s="491"/>
      <c r="CX169" s="491"/>
      <c r="CY169" s="491"/>
      <c r="CZ169" s="491"/>
      <c r="DA169" s="491"/>
      <c r="DB169" s="491"/>
      <c r="DC169" s="491"/>
      <c r="DD169" s="491"/>
      <c r="DE169" s="491"/>
      <c r="DF169" s="491"/>
      <c r="DG169" s="491"/>
      <c r="DH169" s="491"/>
      <c r="DI169" s="491"/>
      <c r="DJ169" s="491"/>
      <c r="DK169" s="491"/>
      <c r="DL169" s="491"/>
      <c r="DM169" s="491"/>
      <c r="DN169" s="491"/>
      <c r="DO169" s="491"/>
      <c r="DP169" s="491"/>
      <c r="DQ169" s="491"/>
      <c r="DR169" s="491"/>
      <c r="DS169" s="491"/>
      <c r="DT169" s="491"/>
      <c r="DU169" s="491"/>
      <c r="DV169" s="491"/>
      <c r="DW169" s="491"/>
      <c r="DX169" s="491"/>
      <c r="DY169" s="491"/>
      <c r="DZ169" s="491"/>
      <c r="EA169" s="491"/>
      <c r="EB169" s="491"/>
      <c r="EC169" s="491"/>
      <c r="ED169" s="491"/>
      <c r="EE169" s="491"/>
      <c r="EF169" s="491"/>
      <c r="EG169" s="491"/>
      <c r="EH169" s="491"/>
      <c r="EI169" s="491"/>
      <c r="EJ169" s="491"/>
      <c r="EK169" s="491"/>
      <c r="EL169" s="491"/>
      <c r="EM169" s="491"/>
      <c r="EN169" s="491"/>
      <c r="EO169" s="491"/>
      <c r="EP169" s="491"/>
      <c r="EQ169" s="491"/>
      <c r="ER169" s="491"/>
      <c r="ES169" s="491"/>
      <c r="ET169" s="491"/>
      <c r="EU169" s="491"/>
      <c r="EV169" s="491"/>
      <c r="EW169" s="491"/>
      <c r="EX169" s="491"/>
      <c r="EY169" s="491"/>
      <c r="EZ169" s="491"/>
      <c r="FA169" s="491"/>
      <c r="FB169" s="491"/>
      <c r="FC169" s="491"/>
      <c r="FD169" s="491"/>
      <c r="FE169" s="491"/>
      <c r="FF169" s="491"/>
      <c r="FG169" s="491"/>
      <c r="FH169" s="491"/>
      <c r="FI169" s="491"/>
      <c r="FJ169" s="491"/>
      <c r="FK169" s="491"/>
      <c r="FL169" s="491"/>
      <c r="FM169" s="491"/>
      <c r="FN169" s="491"/>
      <c r="FO169" s="491"/>
      <c r="FP169" s="491"/>
      <c r="FQ169" s="491"/>
      <c r="FR169" s="491"/>
      <c r="FS169" s="491"/>
      <c r="FT169" s="491"/>
      <c r="FU169" s="491"/>
      <c r="FV169" s="491"/>
      <c r="FW169" s="491"/>
      <c r="FX169" s="491"/>
      <c r="FY169" s="491"/>
      <c r="FZ169" s="491"/>
      <c r="GA169" s="491"/>
      <c r="GB169" s="491"/>
      <c r="GC169" s="491"/>
      <c r="GD169" s="491"/>
      <c r="GE169" s="491"/>
      <c r="GF169" s="491"/>
      <c r="GG169" s="491"/>
      <c r="GH169" s="491"/>
      <c r="GI169" s="491"/>
      <c r="GJ169" s="491"/>
      <c r="GK169" s="491"/>
      <c r="GL169" s="491"/>
      <c r="GM169" s="491"/>
      <c r="GN169" s="491"/>
      <c r="GO169" s="491"/>
      <c r="GP169" s="491"/>
      <c r="GQ169" s="491"/>
      <c r="GR169" s="491"/>
      <c r="GS169" s="491"/>
      <c r="GT169" s="491"/>
      <c r="GU169" s="491"/>
      <c r="GV169" s="491"/>
      <c r="GW169" s="491"/>
      <c r="GX169" s="491"/>
      <c r="GY169" s="491"/>
      <c r="GZ169" s="491"/>
      <c r="HA169" s="491"/>
      <c r="HB169" s="491"/>
      <c r="HC169" s="491"/>
      <c r="HD169" s="491"/>
      <c r="HE169" s="491"/>
      <c r="HF169" s="491"/>
      <c r="HG169" s="491"/>
      <c r="HH169" s="491"/>
      <c r="HI169" s="491"/>
      <c r="HJ169" s="491"/>
      <c r="HK169" s="491"/>
      <c r="HL169" s="491"/>
      <c r="HM169" s="491"/>
      <c r="HN169" s="491"/>
      <c r="HO169" s="491"/>
      <c r="HP169" s="491"/>
      <c r="HQ169" s="491"/>
      <c r="HR169" s="491"/>
      <c r="HS169" s="491"/>
      <c r="HT169" s="491"/>
      <c r="HU169" s="491"/>
      <c r="HV169" s="491"/>
      <c r="HW169" s="491"/>
      <c r="HX169" s="491"/>
      <c r="HY169" s="491"/>
      <c r="HZ169" s="491"/>
      <c r="IA169" s="491"/>
      <c r="IB169" s="491"/>
      <c r="IC169" s="491"/>
      <c r="ID169" s="491"/>
      <c r="IE169" s="491"/>
      <c r="IF169" s="491"/>
      <c r="IG169" s="491"/>
      <c r="IH169" s="491"/>
      <c r="II169" s="491"/>
      <c r="IJ169" s="491"/>
      <c r="IK169" s="491"/>
      <c r="IL169" s="491"/>
      <c r="IM169" s="491"/>
      <c r="IN169" s="491"/>
      <c r="IO169" s="491"/>
      <c r="IP169" s="491"/>
      <c r="IQ169" s="491"/>
      <c r="IR169" s="491"/>
      <c r="IS169" s="491"/>
      <c r="IT169" s="491"/>
      <c r="IU169" s="491"/>
    </row>
    <row r="170" s="43" customFormat="1" ht="20.1" customHeight="1" spans="1:255">
      <c r="A170" s="54">
        <v>165</v>
      </c>
      <c r="B170" s="89">
        <v>4922</v>
      </c>
      <c r="C170" s="89" t="s">
        <v>2348</v>
      </c>
      <c r="D170" s="89" t="s">
        <v>76</v>
      </c>
      <c r="E170" s="89" t="s">
        <v>2349</v>
      </c>
      <c r="F170" s="90"/>
      <c r="G170" s="91" t="s">
        <v>2392</v>
      </c>
      <c r="H170" s="89" t="s">
        <v>177</v>
      </c>
      <c r="I170" s="102" t="str">
        <f t="shared" si="29"/>
        <v>Edimansyah, S.Pd</v>
      </c>
      <c r="J170" s="89" t="s">
        <v>127</v>
      </c>
      <c r="K170" s="102" t="str">
        <f t="shared" si="35"/>
        <v>Laki-laki</v>
      </c>
      <c r="L170" s="91" t="s">
        <v>2393</v>
      </c>
      <c r="M170" s="162">
        <v>32660</v>
      </c>
      <c r="N170" s="155" t="str">
        <f ca="1" t="shared" si="30"/>
        <v>36 Tahun 5 Bulan </v>
      </c>
      <c r="O170" s="162" t="s">
        <v>2394</v>
      </c>
      <c r="P170" s="105" t="e">
        <f ca="1" t="shared" si="33"/>
        <v>#VALUE!</v>
      </c>
      <c r="Q170" s="105" t="e">
        <f ca="1" t="shared" si="34"/>
        <v>#VALUE!</v>
      </c>
      <c r="R170" s="628" t="s">
        <v>2395</v>
      </c>
      <c r="S170" s="90"/>
      <c r="T170" s="89"/>
      <c r="U170" s="89" t="s">
        <v>83</v>
      </c>
      <c r="V170" s="91" t="s">
        <v>84</v>
      </c>
      <c r="W170" s="89" t="s">
        <v>112</v>
      </c>
      <c r="X170" s="449" t="s">
        <v>2396</v>
      </c>
      <c r="Y170" s="454">
        <v>15</v>
      </c>
      <c r="Z170" s="249"/>
      <c r="AA170" s="249"/>
      <c r="AB170" s="449" t="s">
        <v>450</v>
      </c>
      <c r="AC170" s="194">
        <v>77371</v>
      </c>
      <c r="AD170" s="449" t="s">
        <v>450</v>
      </c>
      <c r="AE170" s="249"/>
      <c r="AF170" s="627" t="s">
        <v>2397</v>
      </c>
      <c r="AG170" s="465" t="s">
        <v>2398</v>
      </c>
      <c r="AH170" s="249"/>
      <c r="AI170" s="249"/>
      <c r="AJ170" s="249" t="s">
        <v>2358</v>
      </c>
      <c r="AK170" s="250" t="s">
        <v>2359</v>
      </c>
      <c r="AL170" s="235" t="e">
        <f ca="1" t="shared" si="36"/>
        <v>#VALUE!</v>
      </c>
      <c r="AM170" s="449" t="s">
        <v>2360</v>
      </c>
      <c r="AN170" s="194" t="s">
        <v>93</v>
      </c>
      <c r="AO170" s="449" t="s">
        <v>2399</v>
      </c>
      <c r="AP170" s="194"/>
      <c r="AQ170" s="249"/>
      <c r="AR170" s="486"/>
      <c r="AS170" s="249"/>
      <c r="AT170" s="249"/>
      <c r="AU170" s="485" t="s">
        <v>883</v>
      </c>
      <c r="AV170" s="630" t="s">
        <v>2400</v>
      </c>
      <c r="AW170" s="485" t="s">
        <v>100</v>
      </c>
      <c r="AX170" s="454" t="s">
        <v>101</v>
      </c>
      <c r="AY170" s="451" t="s">
        <v>456</v>
      </c>
      <c r="AZ170" s="249"/>
      <c r="BA170" s="249"/>
      <c r="BB170" s="249" t="s">
        <v>2401</v>
      </c>
      <c r="BC170" s="451" t="s">
        <v>456</v>
      </c>
      <c r="BD170" s="451"/>
      <c r="BE170" s="194">
        <v>23</v>
      </c>
      <c r="BF170" s="194">
        <v>23</v>
      </c>
      <c r="BG170" s="449" t="s">
        <v>456</v>
      </c>
      <c r="BH170" s="89" t="s">
        <v>301</v>
      </c>
      <c r="BI170" s="91" t="s">
        <v>2402</v>
      </c>
      <c r="BJ170" s="90" t="s">
        <v>2403</v>
      </c>
      <c r="BK170" s="89">
        <v>1192033779</v>
      </c>
      <c r="BL170" s="499"/>
      <c r="BM170" s="491"/>
      <c r="BN170" s="491"/>
      <c r="BO170" s="491"/>
      <c r="BP170" s="491"/>
      <c r="BQ170" s="491"/>
      <c r="BR170" s="491"/>
      <c r="BS170" s="491"/>
      <c r="BT170" s="491"/>
      <c r="BU170" s="491"/>
      <c r="BV170" s="491"/>
      <c r="BW170" s="491"/>
      <c r="BX170" s="491"/>
      <c r="BY170" s="491"/>
      <c r="BZ170" s="491"/>
      <c r="CA170" s="491"/>
      <c r="CB170" s="491"/>
      <c r="CC170" s="491"/>
      <c r="CD170" s="491"/>
      <c r="CE170" s="491"/>
      <c r="CF170" s="491"/>
      <c r="CG170" s="491"/>
      <c r="CH170" s="491"/>
      <c r="CI170" s="491"/>
      <c r="CJ170" s="491"/>
      <c r="CK170" s="491"/>
      <c r="CL170" s="491"/>
      <c r="CM170" s="491"/>
      <c r="CN170" s="491"/>
      <c r="CO170" s="491"/>
      <c r="CP170" s="491"/>
      <c r="CQ170" s="491"/>
      <c r="CR170" s="491"/>
      <c r="CS170" s="491"/>
      <c r="CT170" s="491"/>
      <c r="CU170" s="491"/>
      <c r="CV170" s="491"/>
      <c r="CW170" s="491"/>
      <c r="CX170" s="491"/>
      <c r="CY170" s="491"/>
      <c r="CZ170" s="491"/>
      <c r="DA170" s="491"/>
      <c r="DB170" s="491"/>
      <c r="DC170" s="491"/>
      <c r="DD170" s="491"/>
      <c r="DE170" s="491"/>
      <c r="DF170" s="491"/>
      <c r="DG170" s="491"/>
      <c r="DH170" s="491"/>
      <c r="DI170" s="491"/>
      <c r="DJ170" s="491"/>
      <c r="DK170" s="491"/>
      <c r="DL170" s="491"/>
      <c r="DM170" s="491"/>
      <c r="DN170" s="491"/>
      <c r="DO170" s="491"/>
      <c r="DP170" s="491"/>
      <c r="DQ170" s="491"/>
      <c r="DR170" s="491"/>
      <c r="DS170" s="491"/>
      <c r="DT170" s="491"/>
      <c r="DU170" s="491"/>
      <c r="DV170" s="491"/>
      <c r="DW170" s="491"/>
      <c r="DX170" s="491"/>
      <c r="DY170" s="491"/>
      <c r="DZ170" s="491"/>
      <c r="EA170" s="491"/>
      <c r="EB170" s="491"/>
      <c r="EC170" s="491"/>
      <c r="ED170" s="491"/>
      <c r="EE170" s="491"/>
      <c r="EF170" s="491"/>
      <c r="EG170" s="491"/>
      <c r="EH170" s="491"/>
      <c r="EI170" s="491"/>
      <c r="EJ170" s="491"/>
      <c r="EK170" s="491"/>
      <c r="EL170" s="491"/>
      <c r="EM170" s="491"/>
      <c r="EN170" s="491"/>
      <c r="EO170" s="491"/>
      <c r="EP170" s="491"/>
      <c r="EQ170" s="491"/>
      <c r="ER170" s="491"/>
      <c r="ES170" s="491"/>
      <c r="ET170" s="491"/>
      <c r="EU170" s="491"/>
      <c r="EV170" s="491"/>
      <c r="EW170" s="491"/>
      <c r="EX170" s="491"/>
      <c r="EY170" s="491"/>
      <c r="EZ170" s="491"/>
      <c r="FA170" s="491"/>
      <c r="FB170" s="491"/>
      <c r="FC170" s="491"/>
      <c r="FD170" s="491"/>
      <c r="FE170" s="491"/>
      <c r="FF170" s="491"/>
      <c r="FG170" s="491"/>
      <c r="FH170" s="491"/>
      <c r="FI170" s="491"/>
      <c r="FJ170" s="491"/>
      <c r="FK170" s="491"/>
      <c r="FL170" s="491"/>
      <c r="FM170" s="491"/>
      <c r="FN170" s="491"/>
      <c r="FO170" s="491"/>
      <c r="FP170" s="491"/>
      <c r="FQ170" s="491"/>
      <c r="FR170" s="491"/>
      <c r="FS170" s="491"/>
      <c r="FT170" s="491"/>
      <c r="FU170" s="491"/>
      <c r="FV170" s="491"/>
      <c r="FW170" s="491"/>
      <c r="FX170" s="491"/>
      <c r="FY170" s="491"/>
      <c r="FZ170" s="491"/>
      <c r="GA170" s="491"/>
      <c r="GB170" s="491"/>
      <c r="GC170" s="491"/>
      <c r="GD170" s="491"/>
      <c r="GE170" s="491"/>
      <c r="GF170" s="491"/>
      <c r="GG170" s="491"/>
      <c r="GH170" s="491"/>
      <c r="GI170" s="491"/>
      <c r="GJ170" s="491"/>
      <c r="GK170" s="491"/>
      <c r="GL170" s="491"/>
      <c r="GM170" s="491"/>
      <c r="GN170" s="491"/>
      <c r="GO170" s="491"/>
      <c r="GP170" s="491"/>
      <c r="GQ170" s="491"/>
      <c r="GR170" s="491"/>
      <c r="GS170" s="491"/>
      <c r="GT170" s="491"/>
      <c r="GU170" s="491"/>
      <c r="GV170" s="491"/>
      <c r="GW170" s="491"/>
      <c r="GX170" s="491"/>
      <c r="GY170" s="491"/>
      <c r="GZ170" s="491"/>
      <c r="HA170" s="491"/>
      <c r="HB170" s="491"/>
      <c r="HC170" s="491"/>
      <c r="HD170" s="491"/>
      <c r="HE170" s="491"/>
      <c r="HF170" s="491"/>
      <c r="HG170" s="491"/>
      <c r="HH170" s="491"/>
      <c r="HI170" s="491"/>
      <c r="HJ170" s="491"/>
      <c r="HK170" s="491"/>
      <c r="HL170" s="491"/>
      <c r="HM170" s="491"/>
      <c r="HN170" s="491"/>
      <c r="HO170" s="491"/>
      <c r="HP170" s="491"/>
      <c r="HQ170" s="491"/>
      <c r="HR170" s="491"/>
      <c r="HS170" s="491"/>
      <c r="HT170" s="491"/>
      <c r="HU170" s="491"/>
      <c r="HV170" s="491"/>
      <c r="HW170" s="491"/>
      <c r="HX170" s="491"/>
      <c r="HY170" s="491"/>
      <c r="HZ170" s="491"/>
      <c r="IA170" s="491"/>
      <c r="IB170" s="491"/>
      <c r="IC170" s="491"/>
      <c r="ID170" s="491"/>
      <c r="IE170" s="491"/>
      <c r="IF170" s="491"/>
      <c r="IG170" s="491"/>
      <c r="IH170" s="491"/>
      <c r="II170" s="491"/>
      <c r="IJ170" s="491"/>
      <c r="IK170" s="491"/>
      <c r="IL170" s="491"/>
      <c r="IM170" s="491"/>
      <c r="IN170" s="491"/>
      <c r="IO170" s="491"/>
      <c r="IP170" s="491"/>
      <c r="IQ170" s="491"/>
      <c r="IR170" s="491"/>
      <c r="IS170" s="491"/>
      <c r="IT170" s="491"/>
      <c r="IU170" s="491"/>
    </row>
    <row r="171" s="43" customFormat="1" ht="20.1" customHeight="1" spans="1:255">
      <c r="A171" s="54">
        <v>166</v>
      </c>
      <c r="B171" s="89">
        <v>4923</v>
      </c>
      <c r="C171" s="89" t="s">
        <v>2348</v>
      </c>
      <c r="D171" s="89" t="s">
        <v>76</v>
      </c>
      <c r="E171" s="89" t="s">
        <v>2349</v>
      </c>
      <c r="F171" s="90"/>
      <c r="G171" s="91" t="s">
        <v>2404</v>
      </c>
      <c r="H171" s="89" t="s">
        <v>1328</v>
      </c>
      <c r="I171" s="102" t="str">
        <f t="shared" si="29"/>
        <v>Norasyikin, S.Pd.I</v>
      </c>
      <c r="J171" s="89" t="s">
        <v>80</v>
      </c>
      <c r="K171" s="102" t="str">
        <f t="shared" si="35"/>
        <v>Perempuan</v>
      </c>
      <c r="L171" s="91" t="s">
        <v>771</v>
      </c>
      <c r="M171" s="162">
        <v>28372</v>
      </c>
      <c r="N171" s="155" t="str">
        <f ca="1" t="shared" si="30"/>
        <v>48 Tahun 2 Bulan </v>
      </c>
      <c r="O171" s="163">
        <v>28372</v>
      </c>
      <c r="P171" s="105">
        <f ca="1" t="shared" si="33"/>
        <v>48</v>
      </c>
      <c r="Q171" s="105" t="str">
        <f ca="1" t="shared" si="34"/>
        <v>OKE</v>
      </c>
      <c r="R171" s="628" t="s">
        <v>2405</v>
      </c>
      <c r="S171" s="90"/>
      <c r="T171" s="631" t="s">
        <v>2406</v>
      </c>
      <c r="U171" s="89" t="s">
        <v>83</v>
      </c>
      <c r="V171" s="91" t="s">
        <v>84</v>
      </c>
      <c r="W171" s="89" t="s">
        <v>112</v>
      </c>
      <c r="X171" s="449" t="s">
        <v>2407</v>
      </c>
      <c r="Y171" s="454">
        <v>1</v>
      </c>
      <c r="Z171" s="249"/>
      <c r="AA171" s="249"/>
      <c r="AB171" s="449" t="s">
        <v>2408</v>
      </c>
      <c r="AC171" s="194">
        <v>77372</v>
      </c>
      <c r="AD171" s="449" t="s">
        <v>1060</v>
      </c>
      <c r="AE171" s="249"/>
      <c r="AF171" s="627" t="s">
        <v>2409</v>
      </c>
      <c r="AG171" s="464" t="s">
        <v>2410</v>
      </c>
      <c r="AH171" s="249"/>
      <c r="AI171" s="249"/>
      <c r="AJ171" s="249" t="s">
        <v>2358</v>
      </c>
      <c r="AK171" s="250" t="s">
        <v>2359</v>
      </c>
      <c r="AL171" s="235" t="e">
        <f ca="1" t="shared" si="36"/>
        <v>#VALUE!</v>
      </c>
      <c r="AM171" s="449" t="s">
        <v>2360</v>
      </c>
      <c r="AN171" s="194" t="s">
        <v>93</v>
      </c>
      <c r="AO171" s="449" t="s">
        <v>2411</v>
      </c>
      <c r="AP171" s="194">
        <v>1</v>
      </c>
      <c r="AQ171" s="449" t="s">
        <v>2412</v>
      </c>
      <c r="AR171" s="486"/>
      <c r="AS171" s="449" t="s">
        <v>2076</v>
      </c>
      <c r="AT171" s="249"/>
      <c r="AU171" s="485" t="s">
        <v>883</v>
      </c>
      <c r="AV171" s="194" t="s">
        <v>2413</v>
      </c>
      <c r="AW171" s="485" t="s">
        <v>100</v>
      </c>
      <c r="AX171" s="454" t="s">
        <v>101</v>
      </c>
      <c r="AY171" s="451" t="s">
        <v>2414</v>
      </c>
      <c r="AZ171" s="249"/>
      <c r="BA171" s="249"/>
      <c r="BB171" s="484" t="s">
        <v>2415</v>
      </c>
      <c r="BC171" s="451" t="s">
        <v>606</v>
      </c>
      <c r="BD171" s="451"/>
      <c r="BE171" s="194">
        <v>24</v>
      </c>
      <c r="BF171" s="194">
        <v>24</v>
      </c>
      <c r="BG171" s="451" t="s">
        <v>606</v>
      </c>
      <c r="BH171" s="89" t="s">
        <v>301</v>
      </c>
      <c r="BI171" s="91" t="s">
        <v>2416</v>
      </c>
      <c r="BJ171" s="90" t="s">
        <v>2417</v>
      </c>
      <c r="BK171" s="89">
        <v>1102073068</v>
      </c>
      <c r="BL171" s="499"/>
      <c r="BM171" s="491"/>
      <c r="BN171" s="491"/>
      <c r="BO171" s="491"/>
      <c r="BP171" s="491"/>
      <c r="BQ171" s="491"/>
      <c r="BR171" s="491"/>
      <c r="BS171" s="491"/>
      <c r="BT171" s="491"/>
      <c r="BU171" s="491"/>
      <c r="BV171" s="491"/>
      <c r="BW171" s="491"/>
      <c r="BX171" s="491"/>
      <c r="BY171" s="491"/>
      <c r="BZ171" s="491"/>
      <c r="CA171" s="491"/>
      <c r="CB171" s="491"/>
      <c r="CC171" s="491"/>
      <c r="CD171" s="491"/>
      <c r="CE171" s="491"/>
      <c r="CF171" s="491"/>
      <c r="CG171" s="491"/>
      <c r="CH171" s="491"/>
      <c r="CI171" s="491"/>
      <c r="CJ171" s="491"/>
      <c r="CK171" s="491"/>
      <c r="CL171" s="491"/>
      <c r="CM171" s="491"/>
      <c r="CN171" s="491"/>
      <c r="CO171" s="491"/>
      <c r="CP171" s="491"/>
      <c r="CQ171" s="491"/>
      <c r="CR171" s="491"/>
      <c r="CS171" s="491"/>
      <c r="CT171" s="491"/>
      <c r="CU171" s="491"/>
      <c r="CV171" s="491"/>
      <c r="CW171" s="491"/>
      <c r="CX171" s="491"/>
      <c r="CY171" s="491"/>
      <c r="CZ171" s="491"/>
      <c r="DA171" s="491"/>
      <c r="DB171" s="491"/>
      <c r="DC171" s="491"/>
      <c r="DD171" s="491"/>
      <c r="DE171" s="491"/>
      <c r="DF171" s="491"/>
      <c r="DG171" s="491"/>
      <c r="DH171" s="491"/>
      <c r="DI171" s="491"/>
      <c r="DJ171" s="491"/>
      <c r="DK171" s="491"/>
      <c r="DL171" s="491"/>
      <c r="DM171" s="491"/>
      <c r="DN171" s="491"/>
      <c r="DO171" s="491"/>
      <c r="DP171" s="491"/>
      <c r="DQ171" s="491"/>
      <c r="DR171" s="491"/>
      <c r="DS171" s="491"/>
      <c r="DT171" s="491"/>
      <c r="DU171" s="491"/>
      <c r="DV171" s="491"/>
      <c r="DW171" s="491"/>
      <c r="DX171" s="491"/>
      <c r="DY171" s="491"/>
      <c r="DZ171" s="491"/>
      <c r="EA171" s="491"/>
      <c r="EB171" s="491"/>
      <c r="EC171" s="491"/>
      <c r="ED171" s="491"/>
      <c r="EE171" s="491"/>
      <c r="EF171" s="491"/>
      <c r="EG171" s="491"/>
      <c r="EH171" s="491"/>
      <c r="EI171" s="491"/>
      <c r="EJ171" s="491"/>
      <c r="EK171" s="491"/>
      <c r="EL171" s="491"/>
      <c r="EM171" s="491"/>
      <c r="EN171" s="491"/>
      <c r="EO171" s="491"/>
      <c r="EP171" s="491"/>
      <c r="EQ171" s="491"/>
      <c r="ER171" s="491"/>
      <c r="ES171" s="491"/>
      <c r="ET171" s="491"/>
      <c r="EU171" s="491"/>
      <c r="EV171" s="491"/>
      <c r="EW171" s="491"/>
      <c r="EX171" s="491"/>
      <c r="EY171" s="491"/>
      <c r="EZ171" s="491"/>
      <c r="FA171" s="491"/>
      <c r="FB171" s="491"/>
      <c r="FC171" s="491"/>
      <c r="FD171" s="491"/>
      <c r="FE171" s="491"/>
      <c r="FF171" s="491"/>
      <c r="FG171" s="491"/>
      <c r="FH171" s="491"/>
      <c r="FI171" s="491"/>
      <c r="FJ171" s="491"/>
      <c r="FK171" s="491"/>
      <c r="FL171" s="491"/>
      <c r="FM171" s="491"/>
      <c r="FN171" s="491"/>
      <c r="FO171" s="491"/>
      <c r="FP171" s="491"/>
      <c r="FQ171" s="491"/>
      <c r="FR171" s="491"/>
      <c r="FS171" s="491"/>
      <c r="FT171" s="491"/>
      <c r="FU171" s="491"/>
      <c r="FV171" s="491"/>
      <c r="FW171" s="491"/>
      <c r="FX171" s="491"/>
      <c r="FY171" s="491"/>
      <c r="FZ171" s="491"/>
      <c r="GA171" s="491"/>
      <c r="GB171" s="491"/>
      <c r="GC171" s="491"/>
      <c r="GD171" s="491"/>
      <c r="GE171" s="491"/>
      <c r="GF171" s="491"/>
      <c r="GG171" s="491"/>
      <c r="GH171" s="491"/>
      <c r="GI171" s="491"/>
      <c r="GJ171" s="491"/>
      <c r="GK171" s="491"/>
      <c r="GL171" s="491"/>
      <c r="GM171" s="491"/>
      <c r="GN171" s="491"/>
      <c r="GO171" s="491"/>
      <c r="GP171" s="491"/>
      <c r="GQ171" s="491"/>
      <c r="GR171" s="491"/>
      <c r="GS171" s="491"/>
      <c r="GT171" s="491"/>
      <c r="GU171" s="491"/>
      <c r="GV171" s="491"/>
      <c r="GW171" s="491"/>
      <c r="GX171" s="491"/>
      <c r="GY171" s="491"/>
      <c r="GZ171" s="491"/>
      <c r="HA171" s="491"/>
      <c r="HB171" s="491"/>
      <c r="HC171" s="491"/>
      <c r="HD171" s="491"/>
      <c r="HE171" s="491"/>
      <c r="HF171" s="491"/>
      <c r="HG171" s="491"/>
      <c r="HH171" s="491"/>
      <c r="HI171" s="491"/>
      <c r="HJ171" s="491"/>
      <c r="HK171" s="491"/>
      <c r="HL171" s="491"/>
      <c r="HM171" s="491"/>
      <c r="HN171" s="491"/>
      <c r="HO171" s="491"/>
      <c r="HP171" s="491"/>
      <c r="HQ171" s="491"/>
      <c r="HR171" s="491"/>
      <c r="HS171" s="491"/>
      <c r="HT171" s="491"/>
      <c r="HU171" s="491"/>
      <c r="HV171" s="491"/>
      <c r="HW171" s="491"/>
      <c r="HX171" s="491"/>
      <c r="HY171" s="491"/>
      <c r="HZ171" s="491"/>
      <c r="IA171" s="491"/>
      <c r="IB171" s="491"/>
      <c r="IC171" s="491"/>
      <c r="ID171" s="491"/>
      <c r="IE171" s="491"/>
      <c r="IF171" s="491"/>
      <c r="IG171" s="491"/>
      <c r="IH171" s="491"/>
      <c r="II171" s="491"/>
      <c r="IJ171" s="491"/>
      <c r="IK171" s="491"/>
      <c r="IL171" s="491"/>
      <c r="IM171" s="491"/>
      <c r="IN171" s="491"/>
      <c r="IO171" s="491"/>
      <c r="IP171" s="491"/>
      <c r="IQ171" s="491"/>
      <c r="IR171" s="491"/>
      <c r="IS171" s="491"/>
      <c r="IT171" s="491"/>
      <c r="IU171" s="491"/>
    </row>
    <row r="172" s="43" customFormat="1" ht="20.1" customHeight="1" spans="1:255">
      <c r="A172" s="54">
        <v>167</v>
      </c>
      <c r="B172" s="89">
        <v>4924</v>
      </c>
      <c r="C172" s="89" t="s">
        <v>2348</v>
      </c>
      <c r="D172" s="89" t="s">
        <v>76</v>
      </c>
      <c r="E172" s="89" t="s">
        <v>2349</v>
      </c>
      <c r="F172" s="90"/>
      <c r="G172" s="91" t="s">
        <v>2418</v>
      </c>
      <c r="H172" s="89" t="s">
        <v>177</v>
      </c>
      <c r="I172" s="102" t="str">
        <f t="shared" si="29"/>
        <v>Yohanis.MP, S.Pd</v>
      </c>
      <c r="J172" s="89" t="s">
        <v>127</v>
      </c>
      <c r="K172" s="102" t="str">
        <f t="shared" si="35"/>
        <v>Laki-laki</v>
      </c>
      <c r="L172" s="91" t="s">
        <v>2419</v>
      </c>
      <c r="M172" s="162">
        <v>32036</v>
      </c>
      <c r="N172" s="155" t="str">
        <f ca="1" t="shared" si="30"/>
        <v>38 Tahun 1 Bulan </v>
      </c>
      <c r="O172" s="163">
        <v>32036</v>
      </c>
      <c r="P172" s="105">
        <f ca="1" t="shared" si="33"/>
        <v>38</v>
      </c>
      <c r="Q172" s="105" t="str">
        <f ca="1" t="shared" si="34"/>
        <v>OKE</v>
      </c>
      <c r="R172" s="628" t="s">
        <v>2420</v>
      </c>
      <c r="S172" s="90"/>
      <c r="T172" s="631" t="s">
        <v>2421</v>
      </c>
      <c r="U172" s="89" t="s">
        <v>83</v>
      </c>
      <c r="V172" s="91" t="s">
        <v>84</v>
      </c>
      <c r="W172" s="89" t="s">
        <v>337</v>
      </c>
      <c r="X172" s="249" t="s">
        <v>2422</v>
      </c>
      <c r="Y172" s="454">
        <v>1</v>
      </c>
      <c r="Z172" s="249"/>
      <c r="AA172" s="249"/>
      <c r="AB172" s="449" t="s">
        <v>423</v>
      </c>
      <c r="AC172" s="194">
        <v>77311</v>
      </c>
      <c r="AD172" s="449" t="s">
        <v>88</v>
      </c>
      <c r="AE172" s="249"/>
      <c r="AF172" s="629" t="s">
        <v>2423</v>
      </c>
      <c r="AG172" s="466" t="s">
        <v>2424</v>
      </c>
      <c r="AH172" s="249"/>
      <c r="AI172" s="249"/>
      <c r="AJ172" s="249" t="s">
        <v>2358</v>
      </c>
      <c r="AK172" s="250" t="s">
        <v>2359</v>
      </c>
      <c r="AL172" s="235" t="e">
        <f ca="1" t="shared" si="36"/>
        <v>#VALUE!</v>
      </c>
      <c r="AM172" s="449" t="s">
        <v>2360</v>
      </c>
      <c r="AN172" s="194" t="s">
        <v>93</v>
      </c>
      <c r="AO172" s="449" t="s">
        <v>2425</v>
      </c>
      <c r="AP172" s="194">
        <v>2</v>
      </c>
      <c r="AQ172" s="449"/>
      <c r="AR172" s="486"/>
      <c r="AS172" s="449"/>
      <c r="AT172" s="249"/>
      <c r="AU172" s="485" t="s">
        <v>883</v>
      </c>
      <c r="AV172" s="485" t="s">
        <v>2426</v>
      </c>
      <c r="AW172" s="485" t="s">
        <v>100</v>
      </c>
      <c r="AX172" s="454" t="s">
        <v>101</v>
      </c>
      <c r="AY172" s="492" t="s">
        <v>2427</v>
      </c>
      <c r="AZ172" s="249"/>
      <c r="BA172" s="249"/>
      <c r="BB172" s="492" t="s">
        <v>2428</v>
      </c>
      <c r="BC172" s="492" t="s">
        <v>2429</v>
      </c>
      <c r="BD172" s="90"/>
      <c r="BE172" s="194">
        <v>19</v>
      </c>
      <c r="BF172" s="194">
        <v>19</v>
      </c>
      <c r="BG172" s="492" t="s">
        <v>2427</v>
      </c>
      <c r="BH172" s="89" t="s">
        <v>301</v>
      </c>
      <c r="BI172" s="91" t="s">
        <v>2402</v>
      </c>
      <c r="BJ172" s="90" t="s">
        <v>2430</v>
      </c>
      <c r="BK172" s="89">
        <v>1192032632</v>
      </c>
      <c r="BL172" s="499"/>
      <c r="BM172" s="491"/>
      <c r="BN172" s="491"/>
      <c r="BO172" s="491"/>
      <c r="BP172" s="491"/>
      <c r="BQ172" s="491"/>
      <c r="BR172" s="491"/>
      <c r="BS172" s="491"/>
      <c r="BT172" s="491"/>
      <c r="BU172" s="491"/>
      <c r="BV172" s="491"/>
      <c r="BW172" s="491"/>
      <c r="BX172" s="491"/>
      <c r="BY172" s="491"/>
      <c r="BZ172" s="491"/>
      <c r="CA172" s="491"/>
      <c r="CB172" s="491"/>
      <c r="CC172" s="491"/>
      <c r="CD172" s="491"/>
      <c r="CE172" s="491"/>
      <c r="CF172" s="491"/>
      <c r="CG172" s="491"/>
      <c r="CH172" s="491"/>
      <c r="CI172" s="491"/>
      <c r="CJ172" s="491"/>
      <c r="CK172" s="491"/>
      <c r="CL172" s="491"/>
      <c r="CM172" s="491"/>
      <c r="CN172" s="491"/>
      <c r="CO172" s="491"/>
      <c r="CP172" s="491"/>
      <c r="CQ172" s="491"/>
      <c r="CR172" s="491"/>
      <c r="CS172" s="491"/>
      <c r="CT172" s="491"/>
      <c r="CU172" s="491"/>
      <c r="CV172" s="491"/>
      <c r="CW172" s="491"/>
      <c r="CX172" s="491"/>
      <c r="CY172" s="491"/>
      <c r="CZ172" s="491"/>
      <c r="DA172" s="491"/>
      <c r="DB172" s="491"/>
      <c r="DC172" s="491"/>
      <c r="DD172" s="491"/>
      <c r="DE172" s="491"/>
      <c r="DF172" s="491"/>
      <c r="DG172" s="491"/>
      <c r="DH172" s="491"/>
      <c r="DI172" s="491"/>
      <c r="DJ172" s="491"/>
      <c r="DK172" s="491"/>
      <c r="DL172" s="491"/>
      <c r="DM172" s="491"/>
      <c r="DN172" s="491"/>
      <c r="DO172" s="491"/>
      <c r="DP172" s="491"/>
      <c r="DQ172" s="491"/>
      <c r="DR172" s="491"/>
      <c r="DS172" s="491"/>
      <c r="DT172" s="491"/>
      <c r="DU172" s="491"/>
      <c r="DV172" s="491"/>
      <c r="DW172" s="491"/>
      <c r="DX172" s="491"/>
      <c r="DY172" s="491"/>
      <c r="DZ172" s="491"/>
      <c r="EA172" s="491"/>
      <c r="EB172" s="491"/>
      <c r="EC172" s="491"/>
      <c r="ED172" s="491"/>
      <c r="EE172" s="491"/>
      <c r="EF172" s="491"/>
      <c r="EG172" s="491"/>
      <c r="EH172" s="491"/>
      <c r="EI172" s="491"/>
      <c r="EJ172" s="491"/>
      <c r="EK172" s="491"/>
      <c r="EL172" s="491"/>
      <c r="EM172" s="491"/>
      <c r="EN172" s="491"/>
      <c r="EO172" s="491"/>
      <c r="EP172" s="491"/>
      <c r="EQ172" s="491"/>
      <c r="ER172" s="491"/>
      <c r="ES172" s="491"/>
      <c r="ET172" s="491"/>
      <c r="EU172" s="491"/>
      <c r="EV172" s="491"/>
      <c r="EW172" s="491"/>
      <c r="EX172" s="491"/>
      <c r="EY172" s="491"/>
      <c r="EZ172" s="491"/>
      <c r="FA172" s="491"/>
      <c r="FB172" s="491"/>
      <c r="FC172" s="491"/>
      <c r="FD172" s="491"/>
      <c r="FE172" s="491"/>
      <c r="FF172" s="491"/>
      <c r="FG172" s="491"/>
      <c r="FH172" s="491"/>
      <c r="FI172" s="491"/>
      <c r="FJ172" s="491"/>
      <c r="FK172" s="491"/>
      <c r="FL172" s="491"/>
      <c r="FM172" s="491"/>
      <c r="FN172" s="491"/>
      <c r="FO172" s="491"/>
      <c r="FP172" s="491"/>
      <c r="FQ172" s="491"/>
      <c r="FR172" s="491"/>
      <c r="FS172" s="491"/>
      <c r="FT172" s="491"/>
      <c r="FU172" s="491"/>
      <c r="FV172" s="491"/>
      <c r="FW172" s="491"/>
      <c r="FX172" s="491"/>
      <c r="FY172" s="491"/>
      <c r="FZ172" s="491"/>
      <c r="GA172" s="491"/>
      <c r="GB172" s="491"/>
      <c r="GC172" s="491"/>
      <c r="GD172" s="491"/>
      <c r="GE172" s="491"/>
      <c r="GF172" s="491"/>
      <c r="GG172" s="491"/>
      <c r="GH172" s="491"/>
      <c r="GI172" s="491"/>
      <c r="GJ172" s="491"/>
      <c r="GK172" s="491"/>
      <c r="GL172" s="491"/>
      <c r="GM172" s="491"/>
      <c r="GN172" s="491"/>
      <c r="GO172" s="491"/>
      <c r="GP172" s="491"/>
      <c r="GQ172" s="491"/>
      <c r="GR172" s="491"/>
      <c r="GS172" s="491"/>
      <c r="GT172" s="491"/>
      <c r="GU172" s="491"/>
      <c r="GV172" s="491"/>
      <c r="GW172" s="491"/>
      <c r="GX172" s="491"/>
      <c r="GY172" s="491"/>
      <c r="GZ172" s="491"/>
      <c r="HA172" s="491"/>
      <c r="HB172" s="491"/>
      <c r="HC172" s="491"/>
      <c r="HD172" s="491"/>
      <c r="HE172" s="491"/>
      <c r="HF172" s="491"/>
      <c r="HG172" s="491"/>
      <c r="HH172" s="491"/>
      <c r="HI172" s="491"/>
      <c r="HJ172" s="491"/>
      <c r="HK172" s="491"/>
      <c r="HL172" s="491"/>
      <c r="HM172" s="491"/>
      <c r="HN172" s="491"/>
      <c r="HO172" s="491"/>
      <c r="HP172" s="491"/>
      <c r="HQ172" s="491"/>
      <c r="HR172" s="491"/>
      <c r="HS172" s="491"/>
      <c r="HT172" s="491"/>
      <c r="HU172" s="491"/>
      <c r="HV172" s="491"/>
      <c r="HW172" s="491"/>
      <c r="HX172" s="491"/>
      <c r="HY172" s="491"/>
      <c r="HZ172" s="491"/>
      <c r="IA172" s="491"/>
      <c r="IB172" s="491"/>
      <c r="IC172" s="491"/>
      <c r="ID172" s="491"/>
      <c r="IE172" s="491"/>
      <c r="IF172" s="491"/>
      <c r="IG172" s="491"/>
      <c r="IH172" s="491"/>
      <c r="II172" s="491"/>
      <c r="IJ172" s="491"/>
      <c r="IK172" s="491"/>
      <c r="IL172" s="491"/>
      <c r="IM172" s="491"/>
      <c r="IN172" s="491"/>
      <c r="IO172" s="491"/>
      <c r="IP172" s="491"/>
      <c r="IQ172" s="491"/>
      <c r="IR172" s="491"/>
      <c r="IS172" s="491"/>
      <c r="IT172" s="491"/>
      <c r="IU172" s="491"/>
    </row>
    <row r="173" s="43" customFormat="1" ht="20.1" customHeight="1" spans="1:255">
      <c r="A173" s="54">
        <v>168</v>
      </c>
      <c r="B173" s="89">
        <v>4925</v>
      </c>
      <c r="C173" s="89" t="s">
        <v>2348</v>
      </c>
      <c r="D173" s="89" t="s">
        <v>76</v>
      </c>
      <c r="E173" s="89" t="s">
        <v>2349</v>
      </c>
      <c r="F173" s="90"/>
      <c r="G173" s="91" t="s">
        <v>2431</v>
      </c>
      <c r="H173" s="89" t="s">
        <v>177</v>
      </c>
      <c r="I173" s="102" t="str">
        <f t="shared" si="29"/>
        <v>Terawati Lamma Pabisa, S.Pd</v>
      </c>
      <c r="J173" s="89" t="s">
        <v>80</v>
      </c>
      <c r="K173" s="102" t="str">
        <f t="shared" si="35"/>
        <v>Perempuan</v>
      </c>
      <c r="L173" s="91" t="s">
        <v>664</v>
      </c>
      <c r="M173" s="162">
        <v>31539</v>
      </c>
      <c r="N173" s="155" t="str">
        <f ca="1" t="shared" si="30"/>
        <v>39 Tahun 5 Bulan </v>
      </c>
      <c r="O173" s="163" t="s">
        <v>2432</v>
      </c>
      <c r="P173" s="105" t="e">
        <f ca="1" t="shared" si="33"/>
        <v>#VALUE!</v>
      </c>
      <c r="Q173" s="105" t="e">
        <f ca="1" t="shared" si="34"/>
        <v>#VALUE!</v>
      </c>
      <c r="R173" s="628" t="s">
        <v>2433</v>
      </c>
      <c r="S173" s="90"/>
      <c r="T173" s="89"/>
      <c r="U173" s="89" t="s">
        <v>83</v>
      </c>
      <c r="V173" s="91" t="s">
        <v>84</v>
      </c>
      <c r="W173" s="89" t="s">
        <v>337</v>
      </c>
      <c r="X173" s="449" t="s">
        <v>2434</v>
      </c>
      <c r="Y173" s="454">
        <v>10</v>
      </c>
      <c r="Z173" s="249"/>
      <c r="AA173" s="249"/>
      <c r="AB173" s="449" t="s">
        <v>88</v>
      </c>
      <c r="AC173" s="194">
        <v>77311</v>
      </c>
      <c r="AD173" s="449" t="s">
        <v>88</v>
      </c>
      <c r="AE173" s="249"/>
      <c r="AF173" s="627" t="s">
        <v>2435</v>
      </c>
      <c r="AG173" s="464" t="s">
        <v>2436</v>
      </c>
      <c r="AH173" s="249"/>
      <c r="AI173" s="249"/>
      <c r="AJ173" s="249" t="s">
        <v>2358</v>
      </c>
      <c r="AK173" s="250" t="s">
        <v>2359</v>
      </c>
      <c r="AL173" s="235" t="e">
        <f ca="1" t="shared" si="36"/>
        <v>#VALUE!</v>
      </c>
      <c r="AM173" s="449" t="s">
        <v>2360</v>
      </c>
      <c r="AN173" s="194" t="s">
        <v>93</v>
      </c>
      <c r="AO173" s="449" t="s">
        <v>2437</v>
      </c>
      <c r="AP173" s="194">
        <v>2</v>
      </c>
      <c r="AQ173" s="249"/>
      <c r="AR173" s="486"/>
      <c r="AS173" s="249"/>
      <c r="AT173" s="249"/>
      <c r="AU173" s="485" t="s">
        <v>883</v>
      </c>
      <c r="AV173" s="194" t="s">
        <v>2438</v>
      </c>
      <c r="AW173" s="485" t="s">
        <v>100</v>
      </c>
      <c r="AX173" s="454" t="s">
        <v>101</v>
      </c>
      <c r="AY173" s="451" t="s">
        <v>1165</v>
      </c>
      <c r="AZ173" s="249"/>
      <c r="BA173" s="249"/>
      <c r="BB173" s="449" t="s">
        <v>2439</v>
      </c>
      <c r="BC173" s="451" t="s">
        <v>1165</v>
      </c>
      <c r="BD173" s="90"/>
      <c r="BE173" s="194"/>
      <c r="BF173" s="194"/>
      <c r="BG173" s="451" t="s">
        <v>1165</v>
      </c>
      <c r="BH173" s="89" t="s">
        <v>301</v>
      </c>
      <c r="BI173" s="91" t="s">
        <v>2402</v>
      </c>
      <c r="BJ173" s="90" t="s">
        <v>2440</v>
      </c>
      <c r="BK173" s="89">
        <v>1192027973</v>
      </c>
      <c r="BL173" s="499"/>
      <c r="BM173" s="491"/>
      <c r="BN173" s="491"/>
      <c r="BO173" s="491"/>
      <c r="BP173" s="491"/>
      <c r="BQ173" s="491"/>
      <c r="BR173" s="491"/>
      <c r="BS173" s="491"/>
      <c r="BT173" s="491"/>
      <c r="BU173" s="491"/>
      <c r="BV173" s="491"/>
      <c r="BW173" s="491"/>
      <c r="BX173" s="491"/>
      <c r="BY173" s="491"/>
      <c r="BZ173" s="491"/>
      <c r="CA173" s="491"/>
      <c r="CB173" s="491"/>
      <c r="CC173" s="491"/>
      <c r="CD173" s="491"/>
      <c r="CE173" s="491"/>
      <c r="CF173" s="491"/>
      <c r="CG173" s="491"/>
      <c r="CH173" s="491"/>
      <c r="CI173" s="491"/>
      <c r="CJ173" s="491"/>
      <c r="CK173" s="491"/>
      <c r="CL173" s="491"/>
      <c r="CM173" s="491"/>
      <c r="CN173" s="491"/>
      <c r="CO173" s="491"/>
      <c r="CP173" s="491"/>
      <c r="CQ173" s="491"/>
      <c r="CR173" s="491"/>
      <c r="CS173" s="491"/>
      <c r="CT173" s="491"/>
      <c r="CU173" s="491"/>
      <c r="CV173" s="491"/>
      <c r="CW173" s="491"/>
      <c r="CX173" s="491"/>
      <c r="CY173" s="491"/>
      <c r="CZ173" s="491"/>
      <c r="DA173" s="491"/>
      <c r="DB173" s="491"/>
      <c r="DC173" s="491"/>
      <c r="DD173" s="491"/>
      <c r="DE173" s="491"/>
      <c r="DF173" s="491"/>
      <c r="DG173" s="491"/>
      <c r="DH173" s="491"/>
      <c r="DI173" s="491"/>
      <c r="DJ173" s="491"/>
      <c r="DK173" s="491"/>
      <c r="DL173" s="491"/>
      <c r="DM173" s="491"/>
      <c r="DN173" s="491"/>
      <c r="DO173" s="491"/>
      <c r="DP173" s="491"/>
      <c r="DQ173" s="491"/>
      <c r="DR173" s="491"/>
      <c r="DS173" s="491"/>
      <c r="DT173" s="491"/>
      <c r="DU173" s="491"/>
      <c r="DV173" s="491"/>
      <c r="DW173" s="491"/>
      <c r="DX173" s="491"/>
      <c r="DY173" s="491"/>
      <c r="DZ173" s="491"/>
      <c r="EA173" s="491"/>
      <c r="EB173" s="491"/>
      <c r="EC173" s="491"/>
      <c r="ED173" s="491"/>
      <c r="EE173" s="491"/>
      <c r="EF173" s="491"/>
      <c r="EG173" s="491"/>
      <c r="EH173" s="491"/>
      <c r="EI173" s="491"/>
      <c r="EJ173" s="491"/>
      <c r="EK173" s="491"/>
      <c r="EL173" s="491"/>
      <c r="EM173" s="491"/>
      <c r="EN173" s="491"/>
      <c r="EO173" s="491"/>
      <c r="EP173" s="491"/>
      <c r="EQ173" s="491"/>
      <c r="ER173" s="491"/>
      <c r="ES173" s="491"/>
      <c r="ET173" s="491"/>
      <c r="EU173" s="491"/>
      <c r="EV173" s="491"/>
      <c r="EW173" s="491"/>
      <c r="EX173" s="491"/>
      <c r="EY173" s="491"/>
      <c r="EZ173" s="491"/>
      <c r="FA173" s="491"/>
      <c r="FB173" s="491"/>
      <c r="FC173" s="491"/>
      <c r="FD173" s="491"/>
      <c r="FE173" s="491"/>
      <c r="FF173" s="491"/>
      <c r="FG173" s="491"/>
      <c r="FH173" s="491"/>
      <c r="FI173" s="491"/>
      <c r="FJ173" s="491"/>
      <c r="FK173" s="491"/>
      <c r="FL173" s="491"/>
      <c r="FM173" s="491"/>
      <c r="FN173" s="491"/>
      <c r="FO173" s="491"/>
      <c r="FP173" s="491"/>
      <c r="FQ173" s="491"/>
      <c r="FR173" s="491"/>
      <c r="FS173" s="491"/>
      <c r="FT173" s="491"/>
      <c r="FU173" s="491"/>
      <c r="FV173" s="491"/>
      <c r="FW173" s="491"/>
      <c r="FX173" s="491"/>
      <c r="FY173" s="491"/>
      <c r="FZ173" s="491"/>
      <c r="GA173" s="491"/>
      <c r="GB173" s="491"/>
      <c r="GC173" s="491"/>
      <c r="GD173" s="491"/>
      <c r="GE173" s="491"/>
      <c r="GF173" s="491"/>
      <c r="GG173" s="491"/>
      <c r="GH173" s="491"/>
      <c r="GI173" s="491"/>
      <c r="GJ173" s="491"/>
      <c r="GK173" s="491"/>
      <c r="GL173" s="491"/>
      <c r="GM173" s="491"/>
      <c r="GN173" s="491"/>
      <c r="GO173" s="491"/>
      <c r="GP173" s="491"/>
      <c r="GQ173" s="491"/>
      <c r="GR173" s="491"/>
      <c r="GS173" s="491"/>
      <c r="GT173" s="491"/>
      <c r="GU173" s="491"/>
      <c r="GV173" s="491"/>
      <c r="GW173" s="491"/>
      <c r="GX173" s="491"/>
      <c r="GY173" s="491"/>
      <c r="GZ173" s="491"/>
      <c r="HA173" s="491"/>
      <c r="HB173" s="491"/>
      <c r="HC173" s="491"/>
      <c r="HD173" s="491"/>
      <c r="HE173" s="491"/>
      <c r="HF173" s="491"/>
      <c r="HG173" s="491"/>
      <c r="HH173" s="491"/>
      <c r="HI173" s="491"/>
      <c r="HJ173" s="491"/>
      <c r="HK173" s="491"/>
      <c r="HL173" s="491"/>
      <c r="HM173" s="491"/>
      <c r="HN173" s="491"/>
      <c r="HO173" s="491"/>
      <c r="HP173" s="491"/>
      <c r="HQ173" s="491"/>
      <c r="HR173" s="491"/>
      <c r="HS173" s="491"/>
      <c r="HT173" s="491"/>
      <c r="HU173" s="491"/>
      <c r="HV173" s="491"/>
      <c r="HW173" s="491"/>
      <c r="HX173" s="491"/>
      <c r="HY173" s="491"/>
      <c r="HZ173" s="491"/>
      <c r="IA173" s="491"/>
      <c r="IB173" s="491"/>
      <c r="IC173" s="491"/>
      <c r="ID173" s="491"/>
      <c r="IE173" s="491"/>
      <c r="IF173" s="491"/>
      <c r="IG173" s="491"/>
      <c r="IH173" s="491"/>
      <c r="II173" s="491"/>
      <c r="IJ173" s="491"/>
      <c r="IK173" s="491"/>
      <c r="IL173" s="491"/>
      <c r="IM173" s="491"/>
      <c r="IN173" s="491"/>
      <c r="IO173" s="491"/>
      <c r="IP173" s="491"/>
      <c r="IQ173" s="491"/>
      <c r="IR173" s="491"/>
      <c r="IS173" s="491"/>
      <c r="IT173" s="491"/>
      <c r="IU173" s="491"/>
    </row>
    <row r="174" s="43" customFormat="1" ht="20.1" customHeight="1" spans="1:255">
      <c r="A174" s="54">
        <v>169</v>
      </c>
      <c r="B174" s="89">
        <v>4926</v>
      </c>
      <c r="C174" s="89" t="s">
        <v>2348</v>
      </c>
      <c r="D174" s="89" t="s">
        <v>76</v>
      </c>
      <c r="E174" s="89" t="s">
        <v>2349</v>
      </c>
      <c r="F174" s="90"/>
      <c r="G174" s="91" t="s">
        <v>2441</v>
      </c>
      <c r="H174" s="89" t="s">
        <v>177</v>
      </c>
      <c r="I174" s="102" t="str">
        <f t="shared" si="29"/>
        <v>Siti Hawa, S.Pd</v>
      </c>
      <c r="J174" s="89" t="s">
        <v>80</v>
      </c>
      <c r="K174" s="102" t="str">
        <f t="shared" si="35"/>
        <v>Perempuan</v>
      </c>
      <c r="L174" s="91" t="s">
        <v>2442</v>
      </c>
      <c r="M174" s="162">
        <v>32793</v>
      </c>
      <c r="N174" s="155" t="str">
        <f ca="1" t="shared" si="30"/>
        <v>36 Tahun 0 Bulan </v>
      </c>
      <c r="O174" s="163" t="s">
        <v>2443</v>
      </c>
      <c r="P174" s="105" t="e">
        <f ca="1" t="shared" si="33"/>
        <v>#VALUE!</v>
      </c>
      <c r="Q174" s="105" t="e">
        <f ca="1" t="shared" si="34"/>
        <v>#VALUE!</v>
      </c>
      <c r="R174" s="628" t="s">
        <v>2444</v>
      </c>
      <c r="S174" s="90"/>
      <c r="T174" s="89"/>
      <c r="U174" s="89" t="s">
        <v>83</v>
      </c>
      <c r="V174" s="91" t="s">
        <v>84</v>
      </c>
      <c r="W174" s="89" t="s">
        <v>112</v>
      </c>
      <c r="X174" s="449" t="s">
        <v>2445</v>
      </c>
      <c r="Y174" s="454">
        <v>15</v>
      </c>
      <c r="Z174" s="249"/>
      <c r="AA174" s="249"/>
      <c r="AB174" s="449" t="s">
        <v>450</v>
      </c>
      <c r="AC174" s="194">
        <v>77371</v>
      </c>
      <c r="AD174" s="449" t="s">
        <v>450</v>
      </c>
      <c r="AE174" s="249"/>
      <c r="AF174" s="627" t="s">
        <v>2446</v>
      </c>
      <c r="AG174" s="464" t="s">
        <v>2447</v>
      </c>
      <c r="AH174" s="249"/>
      <c r="AI174" s="249"/>
      <c r="AJ174" s="449" t="s">
        <v>2448</v>
      </c>
      <c r="AK174" s="250">
        <v>42006</v>
      </c>
      <c r="AL174" s="235" t="str">
        <f ca="1" t="shared" si="36"/>
        <v>10 Tahun 10 Bulan </v>
      </c>
      <c r="AM174" s="449" t="s">
        <v>2360</v>
      </c>
      <c r="AN174" s="194" t="s">
        <v>93</v>
      </c>
      <c r="AO174" s="449" t="s">
        <v>2449</v>
      </c>
      <c r="AP174" s="194">
        <v>2</v>
      </c>
      <c r="AQ174" s="249"/>
      <c r="AR174" s="486"/>
      <c r="AS174" s="249"/>
      <c r="AT174" s="249"/>
      <c r="AU174" s="485" t="s">
        <v>883</v>
      </c>
      <c r="AV174" s="194" t="s">
        <v>2450</v>
      </c>
      <c r="AW174" s="485" t="s">
        <v>100</v>
      </c>
      <c r="AX174" s="454" t="s">
        <v>101</v>
      </c>
      <c r="AY174" s="451" t="s">
        <v>563</v>
      </c>
      <c r="AZ174" s="249"/>
      <c r="BA174" s="249"/>
      <c r="BB174" s="492" t="s">
        <v>2451</v>
      </c>
      <c r="BC174" s="492" t="s">
        <v>2452</v>
      </c>
      <c r="BD174" s="90"/>
      <c r="BE174" s="194">
        <v>15</v>
      </c>
      <c r="BF174" s="194">
        <v>15</v>
      </c>
      <c r="BG174" s="451" t="s">
        <v>563</v>
      </c>
      <c r="BH174" s="89" t="s">
        <v>301</v>
      </c>
      <c r="BI174" s="91" t="s">
        <v>2402</v>
      </c>
      <c r="BJ174" s="90" t="s">
        <v>2453</v>
      </c>
      <c r="BK174" s="89">
        <v>1192028261</v>
      </c>
      <c r="BL174" s="499"/>
      <c r="BM174" s="491"/>
      <c r="BN174" s="491"/>
      <c r="BO174" s="491"/>
      <c r="BP174" s="491"/>
      <c r="BQ174" s="491"/>
      <c r="BR174" s="491"/>
      <c r="BS174" s="491"/>
      <c r="BT174" s="491"/>
      <c r="BU174" s="491"/>
      <c r="BV174" s="491"/>
      <c r="BW174" s="491"/>
      <c r="BX174" s="491"/>
      <c r="BY174" s="491"/>
      <c r="BZ174" s="491"/>
      <c r="CA174" s="491"/>
      <c r="CB174" s="491"/>
      <c r="CC174" s="491"/>
      <c r="CD174" s="491"/>
      <c r="CE174" s="491"/>
      <c r="CF174" s="491"/>
      <c r="CG174" s="491"/>
      <c r="CH174" s="491"/>
      <c r="CI174" s="491"/>
      <c r="CJ174" s="491"/>
      <c r="CK174" s="491"/>
      <c r="CL174" s="491"/>
      <c r="CM174" s="491"/>
      <c r="CN174" s="491"/>
      <c r="CO174" s="491"/>
      <c r="CP174" s="491"/>
      <c r="CQ174" s="491"/>
      <c r="CR174" s="491"/>
      <c r="CS174" s="491"/>
      <c r="CT174" s="491"/>
      <c r="CU174" s="491"/>
      <c r="CV174" s="491"/>
      <c r="CW174" s="491"/>
      <c r="CX174" s="491"/>
      <c r="CY174" s="491"/>
      <c r="CZ174" s="491"/>
      <c r="DA174" s="491"/>
      <c r="DB174" s="491"/>
      <c r="DC174" s="491"/>
      <c r="DD174" s="491"/>
      <c r="DE174" s="491"/>
      <c r="DF174" s="491"/>
      <c r="DG174" s="491"/>
      <c r="DH174" s="491"/>
      <c r="DI174" s="491"/>
      <c r="DJ174" s="491"/>
      <c r="DK174" s="491"/>
      <c r="DL174" s="491"/>
      <c r="DM174" s="491"/>
      <c r="DN174" s="491"/>
      <c r="DO174" s="491"/>
      <c r="DP174" s="491"/>
      <c r="DQ174" s="491"/>
      <c r="DR174" s="491"/>
      <c r="DS174" s="491"/>
      <c r="DT174" s="491"/>
      <c r="DU174" s="491"/>
      <c r="DV174" s="491"/>
      <c r="DW174" s="491"/>
      <c r="DX174" s="491"/>
      <c r="DY174" s="491"/>
      <c r="DZ174" s="491"/>
      <c r="EA174" s="491"/>
      <c r="EB174" s="491"/>
      <c r="EC174" s="491"/>
      <c r="ED174" s="491"/>
      <c r="EE174" s="491"/>
      <c r="EF174" s="491"/>
      <c r="EG174" s="491"/>
      <c r="EH174" s="491"/>
      <c r="EI174" s="491"/>
      <c r="EJ174" s="491"/>
      <c r="EK174" s="491"/>
      <c r="EL174" s="491"/>
      <c r="EM174" s="491"/>
      <c r="EN174" s="491"/>
      <c r="EO174" s="491"/>
      <c r="EP174" s="491"/>
      <c r="EQ174" s="491"/>
      <c r="ER174" s="491"/>
      <c r="ES174" s="491"/>
      <c r="ET174" s="491"/>
      <c r="EU174" s="491"/>
      <c r="EV174" s="491"/>
      <c r="EW174" s="491"/>
      <c r="EX174" s="491"/>
      <c r="EY174" s="491"/>
      <c r="EZ174" s="491"/>
      <c r="FA174" s="491"/>
      <c r="FB174" s="491"/>
      <c r="FC174" s="491"/>
      <c r="FD174" s="491"/>
      <c r="FE174" s="491"/>
      <c r="FF174" s="491"/>
      <c r="FG174" s="491"/>
      <c r="FH174" s="491"/>
      <c r="FI174" s="491"/>
      <c r="FJ174" s="491"/>
      <c r="FK174" s="491"/>
      <c r="FL174" s="491"/>
      <c r="FM174" s="491"/>
      <c r="FN174" s="491"/>
      <c r="FO174" s="491"/>
      <c r="FP174" s="491"/>
      <c r="FQ174" s="491"/>
      <c r="FR174" s="491"/>
      <c r="FS174" s="491"/>
      <c r="FT174" s="491"/>
      <c r="FU174" s="491"/>
      <c r="FV174" s="491"/>
      <c r="FW174" s="491"/>
      <c r="FX174" s="491"/>
      <c r="FY174" s="491"/>
      <c r="FZ174" s="491"/>
      <c r="GA174" s="491"/>
      <c r="GB174" s="491"/>
      <c r="GC174" s="491"/>
      <c r="GD174" s="491"/>
      <c r="GE174" s="491"/>
      <c r="GF174" s="491"/>
      <c r="GG174" s="491"/>
      <c r="GH174" s="491"/>
      <c r="GI174" s="491"/>
      <c r="GJ174" s="491"/>
      <c r="GK174" s="491"/>
      <c r="GL174" s="491"/>
      <c r="GM174" s="491"/>
      <c r="GN174" s="491"/>
      <c r="GO174" s="491"/>
      <c r="GP174" s="491"/>
      <c r="GQ174" s="491"/>
      <c r="GR174" s="491"/>
      <c r="GS174" s="491"/>
      <c r="GT174" s="491"/>
      <c r="GU174" s="491"/>
      <c r="GV174" s="491"/>
      <c r="GW174" s="491"/>
      <c r="GX174" s="491"/>
      <c r="GY174" s="491"/>
      <c r="GZ174" s="491"/>
      <c r="HA174" s="491"/>
      <c r="HB174" s="491"/>
      <c r="HC174" s="491"/>
      <c r="HD174" s="491"/>
      <c r="HE174" s="491"/>
      <c r="HF174" s="491"/>
      <c r="HG174" s="491"/>
      <c r="HH174" s="491"/>
      <c r="HI174" s="491"/>
      <c r="HJ174" s="491"/>
      <c r="HK174" s="491"/>
      <c r="HL174" s="491"/>
      <c r="HM174" s="491"/>
      <c r="HN174" s="491"/>
      <c r="HO174" s="491"/>
      <c r="HP174" s="491"/>
      <c r="HQ174" s="491"/>
      <c r="HR174" s="491"/>
      <c r="HS174" s="491"/>
      <c r="HT174" s="491"/>
      <c r="HU174" s="491"/>
      <c r="HV174" s="491"/>
      <c r="HW174" s="491"/>
      <c r="HX174" s="491"/>
      <c r="HY174" s="491"/>
      <c r="HZ174" s="491"/>
      <c r="IA174" s="491"/>
      <c r="IB174" s="491"/>
      <c r="IC174" s="491"/>
      <c r="ID174" s="491"/>
      <c r="IE174" s="491"/>
      <c r="IF174" s="491"/>
      <c r="IG174" s="491"/>
      <c r="IH174" s="491"/>
      <c r="II174" s="491"/>
      <c r="IJ174" s="491"/>
      <c r="IK174" s="491"/>
      <c r="IL174" s="491"/>
      <c r="IM174" s="491"/>
      <c r="IN174" s="491"/>
      <c r="IO174" s="491"/>
      <c r="IP174" s="491"/>
      <c r="IQ174" s="491"/>
      <c r="IR174" s="491"/>
      <c r="IS174" s="491"/>
      <c r="IT174" s="491"/>
      <c r="IU174" s="491"/>
    </row>
    <row r="175" s="43" customFormat="1" ht="20.1" customHeight="1" spans="1:255">
      <c r="A175" s="54">
        <v>170</v>
      </c>
      <c r="B175" s="89">
        <v>4927</v>
      </c>
      <c r="C175" s="89" t="s">
        <v>2348</v>
      </c>
      <c r="D175" s="89" t="s">
        <v>76</v>
      </c>
      <c r="E175" s="89" t="s">
        <v>2349</v>
      </c>
      <c r="F175" s="90"/>
      <c r="G175" s="91" t="s">
        <v>2454</v>
      </c>
      <c r="H175" s="89" t="s">
        <v>177</v>
      </c>
      <c r="I175" s="102" t="str">
        <f t="shared" si="29"/>
        <v>Furkan, S.Pd</v>
      </c>
      <c r="J175" s="89" t="s">
        <v>127</v>
      </c>
      <c r="K175" s="102" t="str">
        <f t="shared" si="35"/>
        <v>Laki-laki</v>
      </c>
      <c r="L175" s="91" t="s">
        <v>2455</v>
      </c>
      <c r="M175" s="162">
        <v>33003</v>
      </c>
      <c r="N175" s="155" t="str">
        <f ca="1" t="shared" si="30"/>
        <v>35 Tahun 5 Bulan </v>
      </c>
      <c r="O175" s="163" t="s">
        <v>2456</v>
      </c>
      <c r="P175" s="105" t="e">
        <f ca="1" t="shared" si="33"/>
        <v>#VALUE!</v>
      </c>
      <c r="Q175" s="105" t="e">
        <f ca="1" t="shared" si="34"/>
        <v>#VALUE!</v>
      </c>
      <c r="R175" s="628" t="s">
        <v>2457</v>
      </c>
      <c r="S175" s="90"/>
      <c r="T175" s="89"/>
      <c r="U175" s="89" t="s">
        <v>83</v>
      </c>
      <c r="V175" s="91" t="s">
        <v>84</v>
      </c>
      <c r="W175" s="89" t="s">
        <v>112</v>
      </c>
      <c r="X175" s="449" t="s">
        <v>2458</v>
      </c>
      <c r="Y175" s="454">
        <v>20</v>
      </c>
      <c r="Z175" s="249"/>
      <c r="AA175" s="249"/>
      <c r="AB175" s="449" t="s">
        <v>450</v>
      </c>
      <c r="AC175" s="194">
        <v>77371</v>
      </c>
      <c r="AD175" s="449" t="s">
        <v>450</v>
      </c>
      <c r="AE175" s="249"/>
      <c r="AF175" s="627" t="s">
        <v>2459</v>
      </c>
      <c r="AG175" s="464" t="s">
        <v>2460</v>
      </c>
      <c r="AH175" s="249"/>
      <c r="AI175" s="249"/>
      <c r="AJ175" s="249" t="s">
        <v>2461</v>
      </c>
      <c r="AK175" s="250">
        <v>42006</v>
      </c>
      <c r="AL175" s="235" t="str">
        <f ca="1" t="shared" si="36"/>
        <v>10 Tahun 10 Bulan </v>
      </c>
      <c r="AM175" s="249" t="s">
        <v>92</v>
      </c>
      <c r="AN175" s="194" t="s">
        <v>93</v>
      </c>
      <c r="AO175" s="449" t="s">
        <v>2462</v>
      </c>
      <c r="AP175" s="194">
        <v>2</v>
      </c>
      <c r="AQ175" s="249"/>
      <c r="AR175" s="486"/>
      <c r="AS175" s="249"/>
      <c r="AT175" s="249"/>
      <c r="AU175" s="485" t="s">
        <v>883</v>
      </c>
      <c r="AV175" s="485"/>
      <c r="AW175" s="485" t="s">
        <v>100</v>
      </c>
      <c r="AX175" s="454" t="s">
        <v>101</v>
      </c>
      <c r="AY175" s="451" t="s">
        <v>1034</v>
      </c>
      <c r="AZ175" s="249"/>
      <c r="BA175" s="249"/>
      <c r="BB175" s="249" t="s">
        <v>2463</v>
      </c>
      <c r="BC175" s="451" t="s">
        <v>1034</v>
      </c>
      <c r="BD175" s="90"/>
      <c r="BE175" s="194">
        <v>10</v>
      </c>
      <c r="BF175" s="194">
        <v>10</v>
      </c>
      <c r="BG175" s="451" t="s">
        <v>1034</v>
      </c>
      <c r="BH175" s="89" t="s">
        <v>301</v>
      </c>
      <c r="BI175" s="91" t="s">
        <v>2366</v>
      </c>
      <c r="BJ175" s="90" t="s">
        <v>2464</v>
      </c>
      <c r="BK175" s="89">
        <v>1192035089</v>
      </c>
      <c r="BL175" s="499"/>
      <c r="BM175" s="491"/>
      <c r="BN175" s="491"/>
      <c r="BO175" s="491"/>
      <c r="BP175" s="491"/>
      <c r="BQ175" s="491"/>
      <c r="BR175" s="491"/>
      <c r="BS175" s="491"/>
      <c r="BT175" s="491"/>
      <c r="BU175" s="491"/>
      <c r="BV175" s="491"/>
      <c r="BW175" s="491"/>
      <c r="BX175" s="491"/>
      <c r="BY175" s="491"/>
      <c r="BZ175" s="491"/>
      <c r="CA175" s="491"/>
      <c r="CB175" s="491"/>
      <c r="CC175" s="491"/>
      <c r="CD175" s="491"/>
      <c r="CE175" s="491"/>
      <c r="CF175" s="491"/>
      <c r="CG175" s="491"/>
      <c r="CH175" s="491"/>
      <c r="CI175" s="491"/>
      <c r="CJ175" s="491"/>
      <c r="CK175" s="491"/>
      <c r="CL175" s="491"/>
      <c r="CM175" s="491"/>
      <c r="CN175" s="491"/>
      <c r="CO175" s="491"/>
      <c r="CP175" s="491"/>
      <c r="CQ175" s="491"/>
      <c r="CR175" s="491"/>
      <c r="CS175" s="491"/>
      <c r="CT175" s="491"/>
      <c r="CU175" s="491"/>
      <c r="CV175" s="491"/>
      <c r="CW175" s="491"/>
      <c r="CX175" s="491"/>
      <c r="CY175" s="491"/>
      <c r="CZ175" s="491"/>
      <c r="DA175" s="491"/>
      <c r="DB175" s="491"/>
      <c r="DC175" s="491"/>
      <c r="DD175" s="491"/>
      <c r="DE175" s="491"/>
      <c r="DF175" s="491"/>
      <c r="DG175" s="491"/>
      <c r="DH175" s="491"/>
      <c r="DI175" s="491"/>
      <c r="DJ175" s="491"/>
      <c r="DK175" s="491"/>
      <c r="DL175" s="491"/>
      <c r="DM175" s="491"/>
      <c r="DN175" s="491"/>
      <c r="DO175" s="491"/>
      <c r="DP175" s="491"/>
      <c r="DQ175" s="491"/>
      <c r="DR175" s="491"/>
      <c r="DS175" s="491"/>
      <c r="DT175" s="491"/>
      <c r="DU175" s="491"/>
      <c r="DV175" s="491"/>
      <c r="DW175" s="491"/>
      <c r="DX175" s="491"/>
      <c r="DY175" s="491"/>
      <c r="DZ175" s="491"/>
      <c r="EA175" s="491"/>
      <c r="EB175" s="491"/>
      <c r="EC175" s="491"/>
      <c r="ED175" s="491"/>
      <c r="EE175" s="491"/>
      <c r="EF175" s="491"/>
      <c r="EG175" s="491"/>
      <c r="EH175" s="491"/>
      <c r="EI175" s="491"/>
      <c r="EJ175" s="491"/>
      <c r="EK175" s="491"/>
      <c r="EL175" s="491"/>
      <c r="EM175" s="491"/>
      <c r="EN175" s="491"/>
      <c r="EO175" s="491"/>
      <c r="EP175" s="491"/>
      <c r="EQ175" s="491"/>
      <c r="ER175" s="491"/>
      <c r="ES175" s="491"/>
      <c r="ET175" s="491"/>
      <c r="EU175" s="491"/>
      <c r="EV175" s="491"/>
      <c r="EW175" s="491"/>
      <c r="EX175" s="491"/>
      <c r="EY175" s="491"/>
      <c r="EZ175" s="491"/>
      <c r="FA175" s="491"/>
      <c r="FB175" s="491"/>
      <c r="FC175" s="491"/>
      <c r="FD175" s="491"/>
      <c r="FE175" s="491"/>
      <c r="FF175" s="491"/>
      <c r="FG175" s="491"/>
      <c r="FH175" s="491"/>
      <c r="FI175" s="491"/>
      <c r="FJ175" s="491"/>
      <c r="FK175" s="491"/>
      <c r="FL175" s="491"/>
      <c r="FM175" s="491"/>
      <c r="FN175" s="491"/>
      <c r="FO175" s="491"/>
      <c r="FP175" s="491"/>
      <c r="FQ175" s="491"/>
      <c r="FR175" s="491"/>
      <c r="FS175" s="491"/>
      <c r="FT175" s="491"/>
      <c r="FU175" s="491"/>
      <c r="FV175" s="491"/>
      <c r="FW175" s="491"/>
      <c r="FX175" s="491"/>
      <c r="FY175" s="491"/>
      <c r="FZ175" s="491"/>
      <c r="GA175" s="491"/>
      <c r="GB175" s="491"/>
      <c r="GC175" s="491"/>
      <c r="GD175" s="491"/>
      <c r="GE175" s="491"/>
      <c r="GF175" s="491"/>
      <c r="GG175" s="491"/>
      <c r="GH175" s="491"/>
      <c r="GI175" s="491"/>
      <c r="GJ175" s="491"/>
      <c r="GK175" s="491"/>
      <c r="GL175" s="491"/>
      <c r="GM175" s="491"/>
      <c r="GN175" s="491"/>
      <c r="GO175" s="491"/>
      <c r="GP175" s="491"/>
      <c r="GQ175" s="491"/>
      <c r="GR175" s="491"/>
      <c r="GS175" s="491"/>
      <c r="GT175" s="491"/>
      <c r="GU175" s="491"/>
      <c r="GV175" s="491"/>
      <c r="GW175" s="491"/>
      <c r="GX175" s="491"/>
      <c r="GY175" s="491"/>
      <c r="GZ175" s="491"/>
      <c r="HA175" s="491"/>
      <c r="HB175" s="491"/>
      <c r="HC175" s="491"/>
      <c r="HD175" s="491"/>
      <c r="HE175" s="491"/>
      <c r="HF175" s="491"/>
      <c r="HG175" s="491"/>
      <c r="HH175" s="491"/>
      <c r="HI175" s="491"/>
      <c r="HJ175" s="491"/>
      <c r="HK175" s="491"/>
      <c r="HL175" s="491"/>
      <c r="HM175" s="491"/>
      <c r="HN175" s="491"/>
      <c r="HO175" s="491"/>
      <c r="HP175" s="491"/>
      <c r="HQ175" s="491"/>
      <c r="HR175" s="491"/>
      <c r="HS175" s="491"/>
      <c r="HT175" s="491"/>
      <c r="HU175" s="491"/>
      <c r="HV175" s="491"/>
      <c r="HW175" s="491"/>
      <c r="HX175" s="491"/>
      <c r="HY175" s="491"/>
      <c r="HZ175" s="491"/>
      <c r="IA175" s="491"/>
      <c r="IB175" s="491"/>
      <c r="IC175" s="491"/>
      <c r="ID175" s="491"/>
      <c r="IE175" s="491"/>
      <c r="IF175" s="491"/>
      <c r="IG175" s="491"/>
      <c r="IH175" s="491"/>
      <c r="II175" s="491"/>
      <c r="IJ175" s="491"/>
      <c r="IK175" s="491"/>
      <c r="IL175" s="491"/>
      <c r="IM175" s="491"/>
      <c r="IN175" s="491"/>
      <c r="IO175" s="491"/>
      <c r="IP175" s="491"/>
      <c r="IQ175" s="491"/>
      <c r="IR175" s="491"/>
      <c r="IS175" s="491"/>
      <c r="IT175" s="491"/>
      <c r="IU175" s="491"/>
    </row>
    <row r="176" s="43" customFormat="1" ht="20.1" customHeight="1" spans="1:255">
      <c r="A176" s="54">
        <v>171</v>
      </c>
      <c r="B176" s="89">
        <v>4928</v>
      </c>
      <c r="C176" s="89" t="s">
        <v>2348</v>
      </c>
      <c r="D176" s="89" t="s">
        <v>76</v>
      </c>
      <c r="E176" s="89" t="s">
        <v>2349</v>
      </c>
      <c r="F176" s="90"/>
      <c r="G176" s="91" t="s">
        <v>2465</v>
      </c>
      <c r="H176" s="89" t="s">
        <v>177</v>
      </c>
      <c r="I176" s="102" t="str">
        <f t="shared" si="29"/>
        <v>Ilham, S.Pd</v>
      </c>
      <c r="J176" s="89" t="s">
        <v>127</v>
      </c>
      <c r="K176" s="102" t="str">
        <f t="shared" si="35"/>
        <v>Laki-laki</v>
      </c>
      <c r="L176" s="91" t="s">
        <v>568</v>
      </c>
      <c r="M176" s="162">
        <v>33006</v>
      </c>
      <c r="N176" s="155" t="str">
        <f ca="1" t="shared" si="30"/>
        <v>35 Tahun 5 Bulan </v>
      </c>
      <c r="O176" s="163" t="s">
        <v>2466</v>
      </c>
      <c r="P176" s="105" t="e">
        <f ca="1" t="shared" si="33"/>
        <v>#VALUE!</v>
      </c>
      <c r="Q176" s="105" t="e">
        <f ca="1" t="shared" si="34"/>
        <v>#VALUE!</v>
      </c>
      <c r="R176" s="628" t="s">
        <v>2467</v>
      </c>
      <c r="S176" s="90"/>
      <c r="T176" s="89"/>
      <c r="U176" s="89" t="s">
        <v>83</v>
      </c>
      <c r="V176" s="91" t="s">
        <v>84</v>
      </c>
      <c r="W176" s="89" t="s">
        <v>112</v>
      </c>
      <c r="X176" s="449" t="s">
        <v>2445</v>
      </c>
      <c r="Y176" s="454">
        <v>1</v>
      </c>
      <c r="Z176" s="249"/>
      <c r="AA176" s="249"/>
      <c r="AB176" s="449" t="s">
        <v>2468</v>
      </c>
      <c r="AC176" s="194"/>
      <c r="AD176" s="449" t="s">
        <v>2469</v>
      </c>
      <c r="AE176" s="249"/>
      <c r="AF176" s="627" t="s">
        <v>2470</v>
      </c>
      <c r="AG176" s="464" t="s">
        <v>2471</v>
      </c>
      <c r="AH176" s="249"/>
      <c r="AI176" s="249"/>
      <c r="AJ176" s="249" t="s">
        <v>2472</v>
      </c>
      <c r="AK176" s="250">
        <v>41953</v>
      </c>
      <c r="AL176" s="235" t="str">
        <f ca="1" t="shared" si="36"/>
        <v>10 Tahun 11 Bulan </v>
      </c>
      <c r="AM176" s="449" t="s">
        <v>92</v>
      </c>
      <c r="AN176" s="194" t="s">
        <v>93</v>
      </c>
      <c r="AO176" s="449" t="s">
        <v>2473</v>
      </c>
      <c r="AP176" s="194">
        <v>2</v>
      </c>
      <c r="AQ176" s="249"/>
      <c r="AR176" s="486"/>
      <c r="AS176" s="249"/>
      <c r="AT176" s="249"/>
      <c r="AU176" s="485" t="s">
        <v>883</v>
      </c>
      <c r="AV176" s="485"/>
      <c r="AW176" s="485" t="s">
        <v>100</v>
      </c>
      <c r="AX176" s="454" t="s">
        <v>101</v>
      </c>
      <c r="AY176" s="451" t="s">
        <v>2474</v>
      </c>
      <c r="AZ176" s="249"/>
      <c r="BA176" s="249"/>
      <c r="BB176" s="492" t="s">
        <v>2475</v>
      </c>
      <c r="BC176" s="451" t="s">
        <v>2474</v>
      </c>
      <c r="BD176" s="90"/>
      <c r="BE176" s="194">
        <v>13</v>
      </c>
      <c r="BF176" s="194">
        <v>13</v>
      </c>
      <c r="BG176" s="451" t="s">
        <v>2474</v>
      </c>
      <c r="BH176" s="89" t="s">
        <v>301</v>
      </c>
      <c r="BI176" s="91" t="s">
        <v>2402</v>
      </c>
      <c r="BJ176" s="90" t="s">
        <v>2476</v>
      </c>
      <c r="BK176" s="89">
        <v>1192032683</v>
      </c>
      <c r="BL176" s="499"/>
      <c r="BM176" s="491"/>
      <c r="BN176" s="491"/>
      <c r="BO176" s="491"/>
      <c r="BP176" s="491"/>
      <c r="BQ176" s="491"/>
      <c r="BR176" s="491"/>
      <c r="BS176" s="491"/>
      <c r="BT176" s="491"/>
      <c r="BU176" s="491"/>
      <c r="BV176" s="491"/>
      <c r="BW176" s="491"/>
      <c r="BX176" s="491"/>
      <c r="BY176" s="491"/>
      <c r="BZ176" s="491"/>
      <c r="CA176" s="491"/>
      <c r="CB176" s="491"/>
      <c r="CC176" s="491"/>
      <c r="CD176" s="491"/>
      <c r="CE176" s="491"/>
      <c r="CF176" s="491"/>
      <c r="CG176" s="491"/>
      <c r="CH176" s="491"/>
      <c r="CI176" s="491"/>
      <c r="CJ176" s="491"/>
      <c r="CK176" s="491"/>
      <c r="CL176" s="491"/>
      <c r="CM176" s="491"/>
      <c r="CN176" s="491"/>
      <c r="CO176" s="491"/>
      <c r="CP176" s="491"/>
      <c r="CQ176" s="491"/>
      <c r="CR176" s="491"/>
      <c r="CS176" s="491"/>
      <c r="CT176" s="491"/>
      <c r="CU176" s="491"/>
      <c r="CV176" s="491"/>
      <c r="CW176" s="491"/>
      <c r="CX176" s="491"/>
      <c r="CY176" s="491"/>
      <c r="CZ176" s="491"/>
      <c r="DA176" s="491"/>
      <c r="DB176" s="491"/>
      <c r="DC176" s="491"/>
      <c r="DD176" s="491"/>
      <c r="DE176" s="491"/>
      <c r="DF176" s="491"/>
      <c r="DG176" s="491"/>
      <c r="DH176" s="491"/>
      <c r="DI176" s="491"/>
      <c r="DJ176" s="491"/>
      <c r="DK176" s="491"/>
      <c r="DL176" s="491"/>
      <c r="DM176" s="491"/>
      <c r="DN176" s="491"/>
      <c r="DO176" s="491"/>
      <c r="DP176" s="491"/>
      <c r="DQ176" s="491"/>
      <c r="DR176" s="491"/>
      <c r="DS176" s="491"/>
      <c r="DT176" s="491"/>
      <c r="DU176" s="491"/>
      <c r="DV176" s="491"/>
      <c r="DW176" s="491"/>
      <c r="DX176" s="491"/>
      <c r="DY176" s="491"/>
      <c r="DZ176" s="491"/>
      <c r="EA176" s="491"/>
      <c r="EB176" s="491"/>
      <c r="EC176" s="491"/>
      <c r="ED176" s="491"/>
      <c r="EE176" s="491"/>
      <c r="EF176" s="491"/>
      <c r="EG176" s="491"/>
      <c r="EH176" s="491"/>
      <c r="EI176" s="491"/>
      <c r="EJ176" s="491"/>
      <c r="EK176" s="491"/>
      <c r="EL176" s="491"/>
      <c r="EM176" s="491"/>
      <c r="EN176" s="491"/>
      <c r="EO176" s="491"/>
      <c r="EP176" s="491"/>
      <c r="EQ176" s="491"/>
      <c r="ER176" s="491"/>
      <c r="ES176" s="491"/>
      <c r="ET176" s="491"/>
      <c r="EU176" s="491"/>
      <c r="EV176" s="491"/>
      <c r="EW176" s="491"/>
      <c r="EX176" s="491"/>
      <c r="EY176" s="491"/>
      <c r="EZ176" s="491"/>
      <c r="FA176" s="491"/>
      <c r="FB176" s="491"/>
      <c r="FC176" s="491"/>
      <c r="FD176" s="491"/>
      <c r="FE176" s="491"/>
      <c r="FF176" s="491"/>
      <c r="FG176" s="491"/>
      <c r="FH176" s="491"/>
      <c r="FI176" s="491"/>
      <c r="FJ176" s="491"/>
      <c r="FK176" s="491"/>
      <c r="FL176" s="491"/>
      <c r="FM176" s="491"/>
      <c r="FN176" s="491"/>
      <c r="FO176" s="491"/>
      <c r="FP176" s="491"/>
      <c r="FQ176" s="491"/>
      <c r="FR176" s="491"/>
      <c r="FS176" s="491"/>
      <c r="FT176" s="491"/>
      <c r="FU176" s="491"/>
      <c r="FV176" s="491"/>
      <c r="FW176" s="491"/>
      <c r="FX176" s="491"/>
      <c r="FY176" s="491"/>
      <c r="FZ176" s="491"/>
      <c r="GA176" s="491"/>
      <c r="GB176" s="491"/>
      <c r="GC176" s="491"/>
      <c r="GD176" s="491"/>
      <c r="GE176" s="491"/>
      <c r="GF176" s="491"/>
      <c r="GG176" s="491"/>
      <c r="GH176" s="491"/>
      <c r="GI176" s="491"/>
      <c r="GJ176" s="491"/>
      <c r="GK176" s="491"/>
      <c r="GL176" s="491"/>
      <c r="GM176" s="491"/>
      <c r="GN176" s="491"/>
      <c r="GO176" s="491"/>
      <c r="GP176" s="491"/>
      <c r="GQ176" s="491"/>
      <c r="GR176" s="491"/>
      <c r="GS176" s="491"/>
      <c r="GT176" s="491"/>
      <c r="GU176" s="491"/>
      <c r="GV176" s="491"/>
      <c r="GW176" s="491"/>
      <c r="GX176" s="491"/>
      <c r="GY176" s="491"/>
      <c r="GZ176" s="491"/>
      <c r="HA176" s="491"/>
      <c r="HB176" s="491"/>
      <c r="HC176" s="491"/>
      <c r="HD176" s="491"/>
      <c r="HE176" s="491"/>
      <c r="HF176" s="491"/>
      <c r="HG176" s="491"/>
      <c r="HH176" s="491"/>
      <c r="HI176" s="491"/>
      <c r="HJ176" s="491"/>
      <c r="HK176" s="491"/>
      <c r="HL176" s="491"/>
      <c r="HM176" s="491"/>
      <c r="HN176" s="491"/>
      <c r="HO176" s="491"/>
      <c r="HP176" s="491"/>
      <c r="HQ176" s="491"/>
      <c r="HR176" s="491"/>
      <c r="HS176" s="491"/>
      <c r="HT176" s="491"/>
      <c r="HU176" s="491"/>
      <c r="HV176" s="491"/>
      <c r="HW176" s="491"/>
      <c r="HX176" s="491"/>
      <c r="HY176" s="491"/>
      <c r="HZ176" s="491"/>
      <c r="IA176" s="491"/>
      <c r="IB176" s="491"/>
      <c r="IC176" s="491"/>
      <c r="ID176" s="491"/>
      <c r="IE176" s="491"/>
      <c r="IF176" s="491"/>
      <c r="IG176" s="491"/>
      <c r="IH176" s="491"/>
      <c r="II176" s="491"/>
      <c r="IJ176" s="491"/>
      <c r="IK176" s="491"/>
      <c r="IL176" s="491"/>
      <c r="IM176" s="491"/>
      <c r="IN176" s="491"/>
      <c r="IO176" s="491"/>
      <c r="IP176" s="491"/>
      <c r="IQ176" s="491"/>
      <c r="IR176" s="491"/>
      <c r="IS176" s="491"/>
      <c r="IT176" s="491"/>
      <c r="IU176" s="491"/>
    </row>
    <row r="177" s="43" customFormat="1" ht="20.1" customHeight="1" spans="1:255">
      <c r="A177" s="54">
        <v>172</v>
      </c>
      <c r="B177" s="89">
        <v>4929</v>
      </c>
      <c r="C177" s="89" t="s">
        <v>2348</v>
      </c>
      <c r="D177" s="89" t="s">
        <v>76</v>
      </c>
      <c r="E177" s="89" t="s">
        <v>2349</v>
      </c>
      <c r="F177" s="90"/>
      <c r="G177" s="91" t="s">
        <v>2477</v>
      </c>
      <c r="H177" s="89" t="s">
        <v>2025</v>
      </c>
      <c r="I177" s="102" t="str">
        <f t="shared" si="29"/>
        <v>Maria Magdalena Londa, S.Ag</v>
      </c>
      <c r="J177" s="89" t="s">
        <v>80</v>
      </c>
      <c r="K177" s="102" t="str">
        <f t="shared" si="35"/>
        <v>Perempuan</v>
      </c>
      <c r="L177" s="91" t="s">
        <v>2478</v>
      </c>
      <c r="M177" s="162">
        <v>32914</v>
      </c>
      <c r="N177" s="155" t="str">
        <f ca="1" t="shared" si="30"/>
        <v>35 Tahun 8 Bulan </v>
      </c>
      <c r="O177" s="163" t="s">
        <v>2479</v>
      </c>
      <c r="P177" s="105" t="e">
        <f ca="1" t="shared" si="33"/>
        <v>#VALUE!</v>
      </c>
      <c r="Q177" s="105" t="e">
        <f ca="1" t="shared" si="34"/>
        <v>#VALUE!</v>
      </c>
      <c r="R177" s="628" t="s">
        <v>2480</v>
      </c>
      <c r="S177" s="90"/>
      <c r="T177" s="89"/>
      <c r="U177" s="89" t="s">
        <v>83</v>
      </c>
      <c r="V177" s="91" t="s">
        <v>84</v>
      </c>
      <c r="W177" s="89" t="s">
        <v>2481</v>
      </c>
      <c r="X177" s="449" t="s">
        <v>2482</v>
      </c>
      <c r="Y177" s="454">
        <v>5</v>
      </c>
      <c r="Z177" s="249"/>
      <c r="AA177" s="249"/>
      <c r="AB177" s="449" t="s">
        <v>2408</v>
      </c>
      <c r="AC177" s="194">
        <v>77372</v>
      </c>
      <c r="AD177" s="449" t="s">
        <v>1060</v>
      </c>
      <c r="AE177" s="249"/>
      <c r="AF177" s="627" t="s">
        <v>2483</v>
      </c>
      <c r="AG177" s="464" t="s">
        <v>2484</v>
      </c>
      <c r="AH177" s="249"/>
      <c r="AI177" s="249"/>
      <c r="AJ177" s="249" t="s">
        <v>2485</v>
      </c>
      <c r="AK177" s="250">
        <v>42318</v>
      </c>
      <c r="AL177" s="235" t="str">
        <f ca="1" t="shared" si="36"/>
        <v>9 Tahun 11 Bulan </v>
      </c>
      <c r="AM177" s="449" t="s">
        <v>92</v>
      </c>
      <c r="AN177" s="194" t="s">
        <v>93</v>
      </c>
      <c r="AO177" s="449" t="s">
        <v>2486</v>
      </c>
      <c r="AP177" s="194">
        <v>2</v>
      </c>
      <c r="AQ177" s="249"/>
      <c r="AR177" s="486"/>
      <c r="AS177" s="449"/>
      <c r="AT177" s="249"/>
      <c r="AU177" s="485" t="s">
        <v>883</v>
      </c>
      <c r="AV177" s="194"/>
      <c r="AW177" s="485" t="s">
        <v>100</v>
      </c>
      <c r="AX177" s="454" t="s">
        <v>101</v>
      </c>
      <c r="AY177" s="451" t="s">
        <v>2487</v>
      </c>
      <c r="AZ177" s="249"/>
      <c r="BA177" s="249"/>
      <c r="BB177" s="492" t="s">
        <v>2488</v>
      </c>
      <c r="BC177" s="451" t="s">
        <v>2489</v>
      </c>
      <c r="BD177" s="90"/>
      <c r="BE177" s="194">
        <v>24</v>
      </c>
      <c r="BF177" s="194">
        <v>24</v>
      </c>
      <c r="BG177" s="451" t="s">
        <v>2487</v>
      </c>
      <c r="BH177" s="89" t="s">
        <v>301</v>
      </c>
      <c r="BI177" s="91" t="s">
        <v>2402</v>
      </c>
      <c r="BJ177" s="90" t="s">
        <v>2490</v>
      </c>
      <c r="BK177" s="89">
        <v>1192032667</v>
      </c>
      <c r="BL177" s="499"/>
      <c r="BM177" s="491"/>
      <c r="BN177" s="491"/>
      <c r="BO177" s="491"/>
      <c r="BP177" s="491"/>
      <c r="BQ177" s="491"/>
      <c r="BR177" s="491"/>
      <c r="BS177" s="491"/>
      <c r="BT177" s="491"/>
      <c r="BU177" s="491"/>
      <c r="BV177" s="491"/>
      <c r="BW177" s="491"/>
      <c r="BX177" s="491"/>
      <c r="BY177" s="491"/>
      <c r="BZ177" s="491"/>
      <c r="CA177" s="491"/>
      <c r="CB177" s="491"/>
      <c r="CC177" s="491"/>
      <c r="CD177" s="491"/>
      <c r="CE177" s="491"/>
      <c r="CF177" s="491"/>
      <c r="CG177" s="491"/>
      <c r="CH177" s="491"/>
      <c r="CI177" s="491"/>
      <c r="CJ177" s="491"/>
      <c r="CK177" s="491"/>
      <c r="CL177" s="491"/>
      <c r="CM177" s="491"/>
      <c r="CN177" s="491"/>
      <c r="CO177" s="491"/>
      <c r="CP177" s="491"/>
      <c r="CQ177" s="491"/>
      <c r="CR177" s="491"/>
      <c r="CS177" s="491"/>
      <c r="CT177" s="491"/>
      <c r="CU177" s="491"/>
      <c r="CV177" s="491"/>
      <c r="CW177" s="491"/>
      <c r="CX177" s="491"/>
      <c r="CY177" s="491"/>
      <c r="CZ177" s="491"/>
      <c r="DA177" s="491"/>
      <c r="DB177" s="491"/>
      <c r="DC177" s="491"/>
      <c r="DD177" s="491"/>
      <c r="DE177" s="491"/>
      <c r="DF177" s="491"/>
      <c r="DG177" s="491"/>
      <c r="DH177" s="491"/>
      <c r="DI177" s="491"/>
      <c r="DJ177" s="491"/>
      <c r="DK177" s="491"/>
      <c r="DL177" s="491"/>
      <c r="DM177" s="491"/>
      <c r="DN177" s="491"/>
      <c r="DO177" s="491"/>
      <c r="DP177" s="491"/>
      <c r="DQ177" s="491"/>
      <c r="DR177" s="491"/>
      <c r="DS177" s="491"/>
      <c r="DT177" s="491"/>
      <c r="DU177" s="491"/>
      <c r="DV177" s="491"/>
      <c r="DW177" s="491"/>
      <c r="DX177" s="491"/>
      <c r="DY177" s="491"/>
      <c r="DZ177" s="491"/>
      <c r="EA177" s="491"/>
      <c r="EB177" s="491"/>
      <c r="EC177" s="491"/>
      <c r="ED177" s="491"/>
      <c r="EE177" s="491"/>
      <c r="EF177" s="491"/>
      <c r="EG177" s="491"/>
      <c r="EH177" s="491"/>
      <c r="EI177" s="491"/>
      <c r="EJ177" s="491"/>
      <c r="EK177" s="491"/>
      <c r="EL177" s="491"/>
      <c r="EM177" s="491"/>
      <c r="EN177" s="491"/>
      <c r="EO177" s="491"/>
      <c r="EP177" s="491"/>
      <c r="EQ177" s="491"/>
      <c r="ER177" s="491"/>
      <c r="ES177" s="491"/>
      <c r="ET177" s="491"/>
      <c r="EU177" s="491"/>
      <c r="EV177" s="491"/>
      <c r="EW177" s="491"/>
      <c r="EX177" s="491"/>
      <c r="EY177" s="491"/>
      <c r="EZ177" s="491"/>
      <c r="FA177" s="491"/>
      <c r="FB177" s="491"/>
      <c r="FC177" s="491"/>
      <c r="FD177" s="491"/>
      <c r="FE177" s="491"/>
      <c r="FF177" s="491"/>
      <c r="FG177" s="491"/>
      <c r="FH177" s="491"/>
      <c r="FI177" s="491"/>
      <c r="FJ177" s="491"/>
      <c r="FK177" s="491"/>
      <c r="FL177" s="491"/>
      <c r="FM177" s="491"/>
      <c r="FN177" s="491"/>
      <c r="FO177" s="491"/>
      <c r="FP177" s="491"/>
      <c r="FQ177" s="491"/>
      <c r="FR177" s="491"/>
      <c r="FS177" s="491"/>
      <c r="FT177" s="491"/>
      <c r="FU177" s="491"/>
      <c r="FV177" s="491"/>
      <c r="FW177" s="491"/>
      <c r="FX177" s="491"/>
      <c r="FY177" s="491"/>
      <c r="FZ177" s="491"/>
      <c r="GA177" s="491"/>
      <c r="GB177" s="491"/>
      <c r="GC177" s="491"/>
      <c r="GD177" s="491"/>
      <c r="GE177" s="491"/>
      <c r="GF177" s="491"/>
      <c r="GG177" s="491"/>
      <c r="GH177" s="491"/>
      <c r="GI177" s="491"/>
      <c r="GJ177" s="491"/>
      <c r="GK177" s="491"/>
      <c r="GL177" s="491"/>
      <c r="GM177" s="491"/>
      <c r="GN177" s="491"/>
      <c r="GO177" s="491"/>
      <c r="GP177" s="491"/>
      <c r="GQ177" s="491"/>
      <c r="GR177" s="491"/>
      <c r="GS177" s="491"/>
      <c r="GT177" s="491"/>
      <c r="GU177" s="491"/>
      <c r="GV177" s="491"/>
      <c r="GW177" s="491"/>
      <c r="GX177" s="491"/>
      <c r="GY177" s="491"/>
      <c r="GZ177" s="491"/>
      <c r="HA177" s="491"/>
      <c r="HB177" s="491"/>
      <c r="HC177" s="491"/>
      <c r="HD177" s="491"/>
      <c r="HE177" s="491"/>
      <c r="HF177" s="491"/>
      <c r="HG177" s="491"/>
      <c r="HH177" s="491"/>
      <c r="HI177" s="491"/>
      <c r="HJ177" s="491"/>
      <c r="HK177" s="491"/>
      <c r="HL177" s="491"/>
      <c r="HM177" s="491"/>
      <c r="HN177" s="491"/>
      <c r="HO177" s="491"/>
      <c r="HP177" s="491"/>
      <c r="HQ177" s="491"/>
      <c r="HR177" s="491"/>
      <c r="HS177" s="491"/>
      <c r="HT177" s="491"/>
      <c r="HU177" s="491"/>
      <c r="HV177" s="491"/>
      <c r="HW177" s="491"/>
      <c r="HX177" s="491"/>
      <c r="HY177" s="491"/>
      <c r="HZ177" s="491"/>
      <c r="IA177" s="491"/>
      <c r="IB177" s="491"/>
      <c r="IC177" s="491"/>
      <c r="ID177" s="491"/>
      <c r="IE177" s="491"/>
      <c r="IF177" s="491"/>
      <c r="IG177" s="491"/>
      <c r="IH177" s="491"/>
      <c r="II177" s="491"/>
      <c r="IJ177" s="491"/>
      <c r="IK177" s="491"/>
      <c r="IL177" s="491"/>
      <c r="IM177" s="491"/>
      <c r="IN177" s="491"/>
      <c r="IO177" s="491"/>
      <c r="IP177" s="491"/>
      <c r="IQ177" s="491"/>
      <c r="IR177" s="491"/>
      <c r="IS177" s="491"/>
      <c r="IT177" s="491"/>
      <c r="IU177" s="491"/>
    </row>
    <row r="178" s="43" customFormat="1" ht="20.1" customHeight="1" spans="1:255">
      <c r="A178" s="54">
        <v>173</v>
      </c>
      <c r="B178" s="89">
        <v>4930</v>
      </c>
      <c r="C178" s="89" t="s">
        <v>2348</v>
      </c>
      <c r="D178" s="89" t="s">
        <v>76</v>
      </c>
      <c r="E178" s="89" t="s">
        <v>2349</v>
      </c>
      <c r="F178" s="90"/>
      <c r="G178" s="91" t="s">
        <v>2491</v>
      </c>
      <c r="H178" s="89" t="s">
        <v>2492</v>
      </c>
      <c r="I178" s="102" t="str">
        <f t="shared" si="29"/>
        <v>Wulansari, S.Pd, S.Pd.,Gr</v>
      </c>
      <c r="J178" s="89" t="s">
        <v>80</v>
      </c>
      <c r="K178" s="102" t="str">
        <f t="shared" si="35"/>
        <v>Perempuan</v>
      </c>
      <c r="L178" s="91" t="s">
        <v>664</v>
      </c>
      <c r="M178" s="162">
        <v>34048</v>
      </c>
      <c r="N178" s="155" t="str">
        <f ca="1" t="shared" si="30"/>
        <v>32 Tahun 7 Bulan </v>
      </c>
      <c r="O178" s="163" t="s">
        <v>1869</v>
      </c>
      <c r="P178" s="105" t="e">
        <f ca="1" t="shared" si="33"/>
        <v>#VALUE!</v>
      </c>
      <c r="Q178" s="105" t="e">
        <f ca="1" t="shared" si="34"/>
        <v>#VALUE!</v>
      </c>
      <c r="R178" s="628" t="s">
        <v>2493</v>
      </c>
      <c r="S178" s="90"/>
      <c r="T178" s="89"/>
      <c r="U178" s="89" t="s">
        <v>83</v>
      </c>
      <c r="V178" s="91" t="s">
        <v>84</v>
      </c>
      <c r="W178" s="89" t="s">
        <v>112</v>
      </c>
      <c r="X178" s="263" t="s">
        <v>2494</v>
      </c>
      <c r="Y178" s="202">
        <v>6</v>
      </c>
      <c r="Z178" s="203"/>
      <c r="AA178" s="203"/>
      <c r="AB178" s="263" t="s">
        <v>1060</v>
      </c>
      <c r="AC178" s="204">
        <v>77372</v>
      </c>
      <c r="AD178" s="263" t="s">
        <v>1060</v>
      </c>
      <c r="AE178" s="203"/>
      <c r="AF178" s="632" t="s">
        <v>2495</v>
      </c>
      <c r="AG178" s="467" t="s">
        <v>2496</v>
      </c>
      <c r="AH178" s="203"/>
      <c r="AI178" s="203"/>
      <c r="AJ178" s="468" t="s">
        <v>2497</v>
      </c>
      <c r="AK178" s="469">
        <v>42186</v>
      </c>
      <c r="AL178" s="235" t="str">
        <f ca="1" t="shared" si="36"/>
        <v>10 Tahun 4 Bulan </v>
      </c>
      <c r="AM178" s="263" t="s">
        <v>92</v>
      </c>
      <c r="AN178" s="194" t="s">
        <v>93</v>
      </c>
      <c r="AO178" s="263" t="s">
        <v>2498</v>
      </c>
      <c r="AP178" s="204">
        <v>2</v>
      </c>
      <c r="AQ178" s="203"/>
      <c r="AR178" s="487"/>
      <c r="AS178" s="203"/>
      <c r="AT178" s="203"/>
      <c r="AU178" s="202" t="s">
        <v>883</v>
      </c>
      <c r="AV178" s="202"/>
      <c r="AW178" s="202" t="s">
        <v>100</v>
      </c>
      <c r="AX178" s="202" t="s">
        <v>101</v>
      </c>
      <c r="AY178" s="263" t="s">
        <v>620</v>
      </c>
      <c r="AZ178" s="203"/>
      <c r="BA178" s="203"/>
      <c r="BB178" s="188" t="s">
        <v>2499</v>
      </c>
      <c r="BC178" s="188" t="s">
        <v>2500</v>
      </c>
      <c r="BD178" s="493"/>
      <c r="BE178" s="204">
        <v>15</v>
      </c>
      <c r="BF178" s="204">
        <v>15</v>
      </c>
      <c r="BG178" s="263" t="s">
        <v>620</v>
      </c>
      <c r="BH178" s="89" t="s">
        <v>301</v>
      </c>
      <c r="BI178" s="91" t="s">
        <v>2402</v>
      </c>
      <c r="BJ178" s="90" t="s">
        <v>2501</v>
      </c>
      <c r="BK178" s="89">
        <v>1192033183</v>
      </c>
      <c r="BL178" s="499"/>
      <c r="BM178" s="491"/>
      <c r="BN178" s="491"/>
      <c r="BO178" s="491"/>
      <c r="BP178" s="491"/>
      <c r="BQ178" s="491"/>
      <c r="BR178" s="491"/>
      <c r="BS178" s="491"/>
      <c r="BT178" s="491"/>
      <c r="BU178" s="491"/>
      <c r="BV178" s="491"/>
      <c r="BW178" s="491"/>
      <c r="BX178" s="491"/>
      <c r="BY178" s="491"/>
      <c r="BZ178" s="491"/>
      <c r="CA178" s="491"/>
      <c r="CB178" s="491"/>
      <c r="CC178" s="491"/>
      <c r="CD178" s="491"/>
      <c r="CE178" s="491"/>
      <c r="CF178" s="491"/>
      <c r="CG178" s="491"/>
      <c r="CH178" s="491"/>
      <c r="CI178" s="491"/>
      <c r="CJ178" s="491"/>
      <c r="CK178" s="491"/>
      <c r="CL178" s="491"/>
      <c r="CM178" s="491"/>
      <c r="CN178" s="491"/>
      <c r="CO178" s="491"/>
      <c r="CP178" s="491"/>
      <c r="CQ178" s="491"/>
      <c r="CR178" s="491"/>
      <c r="CS178" s="491"/>
      <c r="CT178" s="491"/>
      <c r="CU178" s="491"/>
      <c r="CV178" s="491"/>
      <c r="CW178" s="491"/>
      <c r="CX178" s="491"/>
      <c r="CY178" s="491"/>
      <c r="CZ178" s="491"/>
      <c r="DA178" s="491"/>
      <c r="DB178" s="491"/>
      <c r="DC178" s="491"/>
      <c r="DD178" s="491"/>
      <c r="DE178" s="491"/>
      <c r="DF178" s="491"/>
      <c r="DG178" s="491"/>
      <c r="DH178" s="491"/>
      <c r="DI178" s="491"/>
      <c r="DJ178" s="491"/>
      <c r="DK178" s="491"/>
      <c r="DL178" s="491"/>
      <c r="DM178" s="491"/>
      <c r="DN178" s="491"/>
      <c r="DO178" s="491"/>
      <c r="DP178" s="491"/>
      <c r="DQ178" s="491"/>
      <c r="DR178" s="491"/>
      <c r="DS178" s="491"/>
      <c r="DT178" s="491"/>
      <c r="DU178" s="491"/>
      <c r="DV178" s="491"/>
      <c r="DW178" s="491"/>
      <c r="DX178" s="491"/>
      <c r="DY178" s="491"/>
      <c r="DZ178" s="491"/>
      <c r="EA178" s="491"/>
      <c r="EB178" s="491"/>
      <c r="EC178" s="491"/>
      <c r="ED178" s="491"/>
      <c r="EE178" s="491"/>
      <c r="EF178" s="491"/>
      <c r="EG178" s="491"/>
      <c r="EH178" s="491"/>
      <c r="EI178" s="491"/>
      <c r="EJ178" s="491"/>
      <c r="EK178" s="491"/>
      <c r="EL178" s="491"/>
      <c r="EM178" s="491"/>
      <c r="EN178" s="491"/>
      <c r="EO178" s="491"/>
      <c r="EP178" s="491"/>
      <c r="EQ178" s="491"/>
      <c r="ER178" s="491"/>
      <c r="ES178" s="491"/>
      <c r="ET178" s="491"/>
      <c r="EU178" s="491"/>
      <c r="EV178" s="491"/>
      <c r="EW178" s="491"/>
      <c r="EX178" s="491"/>
      <c r="EY178" s="491"/>
      <c r="EZ178" s="491"/>
      <c r="FA178" s="491"/>
      <c r="FB178" s="491"/>
      <c r="FC178" s="491"/>
      <c r="FD178" s="491"/>
      <c r="FE178" s="491"/>
      <c r="FF178" s="491"/>
      <c r="FG178" s="491"/>
      <c r="FH178" s="491"/>
      <c r="FI178" s="491"/>
      <c r="FJ178" s="491"/>
      <c r="FK178" s="491"/>
      <c r="FL178" s="491"/>
      <c r="FM178" s="491"/>
      <c r="FN178" s="491"/>
      <c r="FO178" s="491"/>
      <c r="FP178" s="491"/>
      <c r="FQ178" s="491"/>
      <c r="FR178" s="491"/>
      <c r="FS178" s="491"/>
      <c r="FT178" s="491"/>
      <c r="FU178" s="491"/>
      <c r="FV178" s="491"/>
      <c r="FW178" s="491"/>
      <c r="FX178" s="491"/>
      <c r="FY178" s="491"/>
      <c r="FZ178" s="491"/>
      <c r="GA178" s="491"/>
      <c r="GB178" s="491"/>
      <c r="GC178" s="491"/>
      <c r="GD178" s="491"/>
      <c r="GE178" s="491"/>
      <c r="GF178" s="491"/>
      <c r="GG178" s="491"/>
      <c r="GH178" s="491"/>
      <c r="GI178" s="491"/>
      <c r="GJ178" s="491"/>
      <c r="GK178" s="491"/>
      <c r="GL178" s="491"/>
      <c r="GM178" s="491"/>
      <c r="GN178" s="491"/>
      <c r="GO178" s="491"/>
      <c r="GP178" s="491"/>
      <c r="GQ178" s="491"/>
      <c r="GR178" s="491"/>
      <c r="GS178" s="491"/>
      <c r="GT178" s="491"/>
      <c r="GU178" s="491"/>
      <c r="GV178" s="491"/>
      <c r="GW178" s="491"/>
      <c r="GX178" s="491"/>
      <c r="GY178" s="491"/>
      <c r="GZ178" s="491"/>
      <c r="HA178" s="491"/>
      <c r="HB178" s="491"/>
      <c r="HC178" s="491"/>
      <c r="HD178" s="491"/>
      <c r="HE178" s="491"/>
      <c r="HF178" s="491"/>
      <c r="HG178" s="491"/>
      <c r="HH178" s="491"/>
      <c r="HI178" s="491"/>
      <c r="HJ178" s="491"/>
      <c r="HK178" s="491"/>
      <c r="HL178" s="491"/>
      <c r="HM178" s="491"/>
      <c r="HN178" s="491"/>
      <c r="HO178" s="491"/>
      <c r="HP178" s="491"/>
      <c r="HQ178" s="491"/>
      <c r="HR178" s="491"/>
      <c r="HS178" s="491"/>
      <c r="HT178" s="491"/>
      <c r="HU178" s="491"/>
      <c r="HV178" s="491"/>
      <c r="HW178" s="491"/>
      <c r="HX178" s="491"/>
      <c r="HY178" s="491"/>
      <c r="HZ178" s="491"/>
      <c r="IA178" s="491"/>
      <c r="IB178" s="491"/>
      <c r="IC178" s="491"/>
      <c r="ID178" s="491"/>
      <c r="IE178" s="491"/>
      <c r="IF178" s="491"/>
      <c r="IG178" s="491"/>
      <c r="IH178" s="491"/>
      <c r="II178" s="491"/>
      <c r="IJ178" s="491"/>
      <c r="IK178" s="491"/>
      <c r="IL178" s="491"/>
      <c r="IM178" s="491"/>
      <c r="IN178" s="491"/>
      <c r="IO178" s="491"/>
      <c r="IP178" s="491"/>
      <c r="IQ178" s="491"/>
      <c r="IR178" s="491"/>
      <c r="IS178" s="491"/>
      <c r="IT178" s="491"/>
      <c r="IU178" s="491"/>
    </row>
    <row r="179" s="43" customFormat="1" ht="20.1" customHeight="1" spans="1:255">
      <c r="A179" s="54">
        <v>174</v>
      </c>
      <c r="B179" s="89">
        <v>4931</v>
      </c>
      <c r="C179" s="89" t="s">
        <v>2348</v>
      </c>
      <c r="D179" s="89" t="s">
        <v>76</v>
      </c>
      <c r="E179" s="89" t="s">
        <v>2349</v>
      </c>
      <c r="F179" s="90"/>
      <c r="G179" s="91" t="s">
        <v>2502</v>
      </c>
      <c r="H179" s="89" t="s">
        <v>177</v>
      </c>
      <c r="I179" s="102" t="str">
        <f t="shared" si="29"/>
        <v>Nurhidayana Ria Suwarti, S.Pd</v>
      </c>
      <c r="J179" s="89" t="s">
        <v>80</v>
      </c>
      <c r="K179" s="102" t="str">
        <f t="shared" si="35"/>
        <v>Perempuan</v>
      </c>
      <c r="L179" s="91" t="s">
        <v>2503</v>
      </c>
      <c r="M179" s="162">
        <v>33947</v>
      </c>
      <c r="N179" s="155" t="str">
        <f ca="1" t="shared" si="30"/>
        <v>32 Tahun 10 Bulan </v>
      </c>
      <c r="O179" s="163" t="s">
        <v>2504</v>
      </c>
      <c r="P179" s="105" t="e">
        <f ca="1" t="shared" si="33"/>
        <v>#VALUE!</v>
      </c>
      <c r="Q179" s="105" t="e">
        <f ca="1" t="shared" si="34"/>
        <v>#VALUE!</v>
      </c>
      <c r="R179" s="628" t="s">
        <v>2505</v>
      </c>
      <c r="S179" s="90"/>
      <c r="T179" s="89"/>
      <c r="U179" s="89" t="s">
        <v>83</v>
      </c>
      <c r="V179" s="91" t="s">
        <v>84</v>
      </c>
      <c r="W179" s="89" t="s">
        <v>112</v>
      </c>
      <c r="X179" s="203" t="s">
        <v>2506</v>
      </c>
      <c r="Y179" s="202">
        <v>2</v>
      </c>
      <c r="Z179" s="203"/>
      <c r="AA179" s="203"/>
      <c r="AB179" s="263" t="s">
        <v>148</v>
      </c>
      <c r="AC179" s="204">
        <v>77313</v>
      </c>
      <c r="AD179" s="263" t="s">
        <v>131</v>
      </c>
      <c r="AE179" s="203"/>
      <c r="AF179" s="632" t="s">
        <v>2507</v>
      </c>
      <c r="AG179" s="470" t="s">
        <v>2508</v>
      </c>
      <c r="AH179" s="203"/>
      <c r="AI179" s="203"/>
      <c r="AJ179" s="468" t="s">
        <v>2509</v>
      </c>
      <c r="AK179" s="469">
        <v>42186</v>
      </c>
      <c r="AL179" s="235" t="str">
        <f ca="1" t="shared" si="36"/>
        <v>10 Tahun 4 Bulan </v>
      </c>
      <c r="AM179" s="263" t="s">
        <v>92</v>
      </c>
      <c r="AN179" s="194" t="s">
        <v>93</v>
      </c>
      <c r="AO179" s="263" t="s">
        <v>2510</v>
      </c>
      <c r="AP179" s="204">
        <v>1</v>
      </c>
      <c r="AQ179" s="263" t="s">
        <v>2511</v>
      </c>
      <c r="AR179" s="487"/>
      <c r="AS179" s="263" t="s">
        <v>2512</v>
      </c>
      <c r="AT179" s="203"/>
      <c r="AU179" s="202" t="s">
        <v>883</v>
      </c>
      <c r="AV179" s="204"/>
      <c r="AW179" s="202" t="s">
        <v>100</v>
      </c>
      <c r="AX179" s="202" t="s">
        <v>101</v>
      </c>
      <c r="AY179" s="263" t="s">
        <v>374</v>
      </c>
      <c r="AZ179" s="203"/>
      <c r="BA179" s="203"/>
      <c r="BB179" s="263"/>
      <c r="BC179" s="263" t="s">
        <v>374</v>
      </c>
      <c r="BD179" s="493"/>
      <c r="BE179" s="204">
        <v>14</v>
      </c>
      <c r="BF179" s="204">
        <v>14</v>
      </c>
      <c r="BG179" s="203" t="s">
        <v>374</v>
      </c>
      <c r="BH179" s="89" t="s">
        <v>2513</v>
      </c>
      <c r="BI179" s="91" t="s">
        <v>2514</v>
      </c>
      <c r="BJ179" s="90" t="s">
        <v>2515</v>
      </c>
      <c r="BK179" s="633" t="s">
        <v>2516</v>
      </c>
      <c r="BL179" s="499"/>
      <c r="BM179" s="491"/>
      <c r="BN179" s="491"/>
      <c r="BO179" s="491"/>
      <c r="BP179" s="491"/>
      <c r="BQ179" s="491"/>
      <c r="BR179" s="491"/>
      <c r="BS179" s="491"/>
      <c r="BT179" s="491"/>
      <c r="BU179" s="491"/>
      <c r="BV179" s="491"/>
      <c r="BW179" s="491"/>
      <c r="BX179" s="491"/>
      <c r="BY179" s="491"/>
      <c r="BZ179" s="491"/>
      <c r="CA179" s="491"/>
      <c r="CB179" s="491"/>
      <c r="CC179" s="491"/>
      <c r="CD179" s="491"/>
      <c r="CE179" s="491"/>
      <c r="CF179" s="491"/>
      <c r="CG179" s="491"/>
      <c r="CH179" s="491"/>
      <c r="CI179" s="491"/>
      <c r="CJ179" s="491"/>
      <c r="CK179" s="491"/>
      <c r="CL179" s="491"/>
      <c r="CM179" s="491"/>
      <c r="CN179" s="491"/>
      <c r="CO179" s="491"/>
      <c r="CP179" s="491"/>
      <c r="CQ179" s="491"/>
      <c r="CR179" s="491"/>
      <c r="CS179" s="491"/>
      <c r="CT179" s="491"/>
      <c r="CU179" s="491"/>
      <c r="CV179" s="491"/>
      <c r="CW179" s="491"/>
      <c r="CX179" s="491"/>
      <c r="CY179" s="491"/>
      <c r="CZ179" s="491"/>
      <c r="DA179" s="491"/>
      <c r="DB179" s="491"/>
      <c r="DC179" s="491"/>
      <c r="DD179" s="491"/>
      <c r="DE179" s="491"/>
      <c r="DF179" s="491"/>
      <c r="DG179" s="491"/>
      <c r="DH179" s="491"/>
      <c r="DI179" s="491"/>
      <c r="DJ179" s="491"/>
      <c r="DK179" s="491"/>
      <c r="DL179" s="491"/>
      <c r="DM179" s="491"/>
      <c r="DN179" s="491"/>
      <c r="DO179" s="491"/>
      <c r="DP179" s="491"/>
      <c r="DQ179" s="491"/>
      <c r="DR179" s="491"/>
      <c r="DS179" s="491"/>
      <c r="DT179" s="491"/>
      <c r="DU179" s="491"/>
      <c r="DV179" s="491"/>
      <c r="DW179" s="491"/>
      <c r="DX179" s="491"/>
      <c r="DY179" s="491"/>
      <c r="DZ179" s="491"/>
      <c r="EA179" s="491"/>
      <c r="EB179" s="491"/>
      <c r="EC179" s="491"/>
      <c r="ED179" s="491"/>
      <c r="EE179" s="491"/>
      <c r="EF179" s="491"/>
      <c r="EG179" s="491"/>
      <c r="EH179" s="491"/>
      <c r="EI179" s="491"/>
      <c r="EJ179" s="491"/>
      <c r="EK179" s="491"/>
      <c r="EL179" s="491"/>
      <c r="EM179" s="491"/>
      <c r="EN179" s="491"/>
      <c r="EO179" s="491"/>
      <c r="EP179" s="491"/>
      <c r="EQ179" s="491"/>
      <c r="ER179" s="491"/>
      <c r="ES179" s="491"/>
      <c r="ET179" s="491"/>
      <c r="EU179" s="491"/>
      <c r="EV179" s="491"/>
      <c r="EW179" s="491"/>
      <c r="EX179" s="491"/>
      <c r="EY179" s="491"/>
      <c r="EZ179" s="491"/>
      <c r="FA179" s="491"/>
      <c r="FB179" s="491"/>
      <c r="FC179" s="491"/>
      <c r="FD179" s="491"/>
      <c r="FE179" s="491"/>
      <c r="FF179" s="491"/>
      <c r="FG179" s="491"/>
      <c r="FH179" s="491"/>
      <c r="FI179" s="491"/>
      <c r="FJ179" s="491"/>
      <c r="FK179" s="491"/>
      <c r="FL179" s="491"/>
      <c r="FM179" s="491"/>
      <c r="FN179" s="491"/>
      <c r="FO179" s="491"/>
      <c r="FP179" s="491"/>
      <c r="FQ179" s="491"/>
      <c r="FR179" s="491"/>
      <c r="FS179" s="491"/>
      <c r="FT179" s="491"/>
      <c r="FU179" s="491"/>
      <c r="FV179" s="491"/>
      <c r="FW179" s="491"/>
      <c r="FX179" s="491"/>
      <c r="FY179" s="491"/>
      <c r="FZ179" s="491"/>
      <c r="GA179" s="491"/>
      <c r="GB179" s="491"/>
      <c r="GC179" s="491"/>
      <c r="GD179" s="491"/>
      <c r="GE179" s="491"/>
      <c r="GF179" s="491"/>
      <c r="GG179" s="491"/>
      <c r="GH179" s="491"/>
      <c r="GI179" s="491"/>
      <c r="GJ179" s="491"/>
      <c r="GK179" s="491"/>
      <c r="GL179" s="491"/>
      <c r="GM179" s="491"/>
      <c r="GN179" s="491"/>
      <c r="GO179" s="491"/>
      <c r="GP179" s="491"/>
      <c r="GQ179" s="491"/>
      <c r="GR179" s="491"/>
      <c r="GS179" s="491"/>
      <c r="GT179" s="491"/>
      <c r="GU179" s="491"/>
      <c r="GV179" s="491"/>
      <c r="GW179" s="491"/>
      <c r="GX179" s="491"/>
      <c r="GY179" s="491"/>
      <c r="GZ179" s="491"/>
      <c r="HA179" s="491"/>
      <c r="HB179" s="491"/>
      <c r="HC179" s="491"/>
      <c r="HD179" s="491"/>
      <c r="HE179" s="491"/>
      <c r="HF179" s="491"/>
      <c r="HG179" s="491"/>
      <c r="HH179" s="491"/>
      <c r="HI179" s="491"/>
      <c r="HJ179" s="491"/>
      <c r="HK179" s="491"/>
      <c r="HL179" s="491"/>
      <c r="HM179" s="491"/>
      <c r="HN179" s="491"/>
      <c r="HO179" s="491"/>
      <c r="HP179" s="491"/>
      <c r="HQ179" s="491"/>
      <c r="HR179" s="491"/>
      <c r="HS179" s="491"/>
      <c r="HT179" s="491"/>
      <c r="HU179" s="491"/>
      <c r="HV179" s="491"/>
      <c r="HW179" s="491"/>
      <c r="HX179" s="491"/>
      <c r="HY179" s="491"/>
      <c r="HZ179" s="491"/>
      <c r="IA179" s="491"/>
      <c r="IB179" s="491"/>
      <c r="IC179" s="491"/>
      <c r="ID179" s="491"/>
      <c r="IE179" s="491"/>
      <c r="IF179" s="491"/>
      <c r="IG179" s="491"/>
      <c r="IH179" s="491"/>
      <c r="II179" s="491"/>
      <c r="IJ179" s="491"/>
      <c r="IK179" s="491"/>
      <c r="IL179" s="491"/>
      <c r="IM179" s="491"/>
      <c r="IN179" s="491"/>
      <c r="IO179" s="491"/>
      <c r="IP179" s="491"/>
      <c r="IQ179" s="491"/>
      <c r="IR179" s="491"/>
      <c r="IS179" s="491"/>
      <c r="IT179" s="491"/>
      <c r="IU179" s="491"/>
    </row>
    <row r="180" s="43" customFormat="1" ht="20.1" customHeight="1" spans="1:255">
      <c r="A180" s="54">
        <v>175</v>
      </c>
      <c r="B180" s="89">
        <v>4932</v>
      </c>
      <c r="C180" s="89" t="s">
        <v>2348</v>
      </c>
      <c r="D180" s="89" t="s">
        <v>76</v>
      </c>
      <c r="E180" s="89" t="s">
        <v>2349</v>
      </c>
      <c r="F180" s="90"/>
      <c r="G180" s="91" t="s">
        <v>2517</v>
      </c>
      <c r="H180" s="89" t="s">
        <v>177</v>
      </c>
      <c r="I180" s="102" t="str">
        <f t="shared" si="29"/>
        <v>Arfah, S.Pd</v>
      </c>
      <c r="J180" s="89" t="s">
        <v>127</v>
      </c>
      <c r="K180" s="102" t="str">
        <f t="shared" si="35"/>
        <v>Laki-laki</v>
      </c>
      <c r="L180" s="91" t="s">
        <v>568</v>
      </c>
      <c r="M180" s="162">
        <v>33772</v>
      </c>
      <c r="N180" s="155" t="str">
        <f ca="1" t="shared" si="30"/>
        <v>33 Tahun 4 Bulan </v>
      </c>
      <c r="O180" s="163" t="s">
        <v>2518</v>
      </c>
      <c r="P180" s="105" t="e">
        <f ca="1" t="shared" si="33"/>
        <v>#VALUE!</v>
      </c>
      <c r="Q180" s="105" t="e">
        <f ca="1" t="shared" si="34"/>
        <v>#VALUE!</v>
      </c>
      <c r="R180" s="628" t="s">
        <v>2519</v>
      </c>
      <c r="S180" s="90"/>
      <c r="T180" s="89"/>
      <c r="U180" s="89" t="s">
        <v>83</v>
      </c>
      <c r="V180" s="91" t="s">
        <v>84</v>
      </c>
      <c r="W180" s="89" t="s">
        <v>112</v>
      </c>
      <c r="X180" s="203" t="s">
        <v>2520</v>
      </c>
      <c r="Y180" s="202">
        <v>13</v>
      </c>
      <c r="Z180" s="203"/>
      <c r="AA180" s="203"/>
      <c r="AB180" s="203" t="s">
        <v>2521</v>
      </c>
      <c r="AC180" s="204">
        <v>77311</v>
      </c>
      <c r="AD180" s="203" t="s">
        <v>88</v>
      </c>
      <c r="AE180" s="203"/>
      <c r="AF180" s="634" t="s">
        <v>2522</v>
      </c>
      <c r="AG180" s="471" t="s">
        <v>2523</v>
      </c>
      <c r="AH180" s="203"/>
      <c r="AI180" s="203"/>
      <c r="AJ180" s="468" t="s">
        <v>2524</v>
      </c>
      <c r="AK180" s="472">
        <v>42186</v>
      </c>
      <c r="AL180" s="235" t="str">
        <f ca="1" t="shared" si="36"/>
        <v>10 Tahun 4 Bulan </v>
      </c>
      <c r="AM180" s="263" t="s">
        <v>92</v>
      </c>
      <c r="AN180" s="194" t="s">
        <v>93</v>
      </c>
      <c r="AO180" s="263" t="s">
        <v>2525</v>
      </c>
      <c r="AP180" s="204">
        <v>2</v>
      </c>
      <c r="AQ180" s="263"/>
      <c r="AR180" s="487"/>
      <c r="AS180" s="203"/>
      <c r="AT180" s="203"/>
      <c r="AU180" s="202" t="s">
        <v>883</v>
      </c>
      <c r="AV180" s="204"/>
      <c r="AW180" s="202" t="s">
        <v>100</v>
      </c>
      <c r="AX180" s="202" t="s">
        <v>101</v>
      </c>
      <c r="AY180" s="263" t="s">
        <v>1435</v>
      </c>
      <c r="AZ180" s="203"/>
      <c r="BA180" s="203"/>
      <c r="BB180" s="203" t="s">
        <v>346</v>
      </c>
      <c r="BC180" s="203" t="s">
        <v>2526</v>
      </c>
      <c r="BD180" s="493"/>
      <c r="BE180" s="204">
        <v>17</v>
      </c>
      <c r="BF180" s="204">
        <v>17</v>
      </c>
      <c r="BG180" s="203" t="s">
        <v>1435</v>
      </c>
      <c r="BH180" s="89" t="s">
        <v>301</v>
      </c>
      <c r="BI180" s="91" t="s">
        <v>1772</v>
      </c>
      <c r="BJ180" s="90" t="s">
        <v>2527</v>
      </c>
      <c r="BK180" s="89">
        <v>1712012915</v>
      </c>
      <c r="BL180" s="499"/>
      <c r="BM180" s="491"/>
      <c r="BN180" s="491"/>
      <c r="BO180" s="491"/>
      <c r="BP180" s="491"/>
      <c r="BQ180" s="491"/>
      <c r="BR180" s="491"/>
      <c r="BS180" s="491"/>
      <c r="BT180" s="491"/>
      <c r="BU180" s="491"/>
      <c r="BV180" s="491"/>
      <c r="BW180" s="491"/>
      <c r="BX180" s="491"/>
      <c r="BY180" s="491"/>
      <c r="BZ180" s="491"/>
      <c r="CA180" s="491"/>
      <c r="CB180" s="491"/>
      <c r="CC180" s="491"/>
      <c r="CD180" s="491"/>
      <c r="CE180" s="491"/>
      <c r="CF180" s="491"/>
      <c r="CG180" s="491"/>
      <c r="CH180" s="491"/>
      <c r="CI180" s="491"/>
      <c r="CJ180" s="491"/>
      <c r="CK180" s="491"/>
      <c r="CL180" s="491"/>
      <c r="CM180" s="491"/>
      <c r="CN180" s="491"/>
      <c r="CO180" s="491"/>
      <c r="CP180" s="491"/>
      <c r="CQ180" s="491"/>
      <c r="CR180" s="491"/>
      <c r="CS180" s="491"/>
      <c r="CT180" s="491"/>
      <c r="CU180" s="491"/>
      <c r="CV180" s="491"/>
      <c r="CW180" s="491"/>
      <c r="CX180" s="491"/>
      <c r="CY180" s="491"/>
      <c r="CZ180" s="491"/>
      <c r="DA180" s="491"/>
      <c r="DB180" s="491"/>
      <c r="DC180" s="491"/>
      <c r="DD180" s="491"/>
      <c r="DE180" s="491"/>
      <c r="DF180" s="491"/>
      <c r="DG180" s="491"/>
      <c r="DH180" s="491"/>
      <c r="DI180" s="491"/>
      <c r="DJ180" s="491"/>
      <c r="DK180" s="491"/>
      <c r="DL180" s="491"/>
      <c r="DM180" s="491"/>
      <c r="DN180" s="491"/>
      <c r="DO180" s="491"/>
      <c r="DP180" s="491"/>
      <c r="DQ180" s="491"/>
      <c r="DR180" s="491"/>
      <c r="DS180" s="491"/>
      <c r="DT180" s="491"/>
      <c r="DU180" s="491"/>
      <c r="DV180" s="491"/>
      <c r="DW180" s="491"/>
      <c r="DX180" s="491"/>
      <c r="DY180" s="491"/>
      <c r="DZ180" s="491"/>
      <c r="EA180" s="491"/>
      <c r="EB180" s="491"/>
      <c r="EC180" s="491"/>
      <c r="ED180" s="491"/>
      <c r="EE180" s="491"/>
      <c r="EF180" s="491"/>
      <c r="EG180" s="491"/>
      <c r="EH180" s="491"/>
      <c r="EI180" s="491"/>
      <c r="EJ180" s="491"/>
      <c r="EK180" s="491"/>
      <c r="EL180" s="491"/>
      <c r="EM180" s="491"/>
      <c r="EN180" s="491"/>
      <c r="EO180" s="491"/>
      <c r="EP180" s="491"/>
      <c r="EQ180" s="491"/>
      <c r="ER180" s="491"/>
      <c r="ES180" s="491"/>
      <c r="ET180" s="491"/>
      <c r="EU180" s="491"/>
      <c r="EV180" s="491"/>
      <c r="EW180" s="491"/>
      <c r="EX180" s="491"/>
      <c r="EY180" s="491"/>
      <c r="EZ180" s="491"/>
      <c r="FA180" s="491"/>
      <c r="FB180" s="491"/>
      <c r="FC180" s="491"/>
      <c r="FD180" s="491"/>
      <c r="FE180" s="491"/>
      <c r="FF180" s="491"/>
      <c r="FG180" s="491"/>
      <c r="FH180" s="491"/>
      <c r="FI180" s="491"/>
      <c r="FJ180" s="491"/>
      <c r="FK180" s="491"/>
      <c r="FL180" s="491"/>
      <c r="FM180" s="491"/>
      <c r="FN180" s="491"/>
      <c r="FO180" s="491"/>
      <c r="FP180" s="491"/>
      <c r="FQ180" s="491"/>
      <c r="FR180" s="491"/>
      <c r="FS180" s="491"/>
      <c r="FT180" s="491"/>
      <c r="FU180" s="491"/>
      <c r="FV180" s="491"/>
      <c r="FW180" s="491"/>
      <c r="FX180" s="491"/>
      <c r="FY180" s="491"/>
      <c r="FZ180" s="491"/>
      <c r="GA180" s="491"/>
      <c r="GB180" s="491"/>
      <c r="GC180" s="491"/>
      <c r="GD180" s="491"/>
      <c r="GE180" s="491"/>
      <c r="GF180" s="491"/>
      <c r="GG180" s="491"/>
      <c r="GH180" s="491"/>
      <c r="GI180" s="491"/>
      <c r="GJ180" s="491"/>
      <c r="GK180" s="491"/>
      <c r="GL180" s="491"/>
      <c r="GM180" s="491"/>
      <c r="GN180" s="491"/>
      <c r="GO180" s="491"/>
      <c r="GP180" s="491"/>
      <c r="GQ180" s="491"/>
      <c r="GR180" s="491"/>
      <c r="GS180" s="491"/>
      <c r="GT180" s="491"/>
      <c r="GU180" s="491"/>
      <c r="GV180" s="491"/>
      <c r="GW180" s="491"/>
      <c r="GX180" s="491"/>
      <c r="GY180" s="491"/>
      <c r="GZ180" s="491"/>
      <c r="HA180" s="491"/>
      <c r="HB180" s="491"/>
      <c r="HC180" s="491"/>
      <c r="HD180" s="491"/>
      <c r="HE180" s="491"/>
      <c r="HF180" s="491"/>
      <c r="HG180" s="491"/>
      <c r="HH180" s="491"/>
      <c r="HI180" s="491"/>
      <c r="HJ180" s="491"/>
      <c r="HK180" s="491"/>
      <c r="HL180" s="491"/>
      <c r="HM180" s="491"/>
      <c r="HN180" s="491"/>
      <c r="HO180" s="491"/>
      <c r="HP180" s="491"/>
      <c r="HQ180" s="491"/>
      <c r="HR180" s="491"/>
      <c r="HS180" s="491"/>
      <c r="HT180" s="491"/>
      <c r="HU180" s="491"/>
      <c r="HV180" s="491"/>
      <c r="HW180" s="491"/>
      <c r="HX180" s="491"/>
      <c r="HY180" s="491"/>
      <c r="HZ180" s="491"/>
      <c r="IA180" s="491"/>
      <c r="IB180" s="491"/>
      <c r="IC180" s="491"/>
      <c r="ID180" s="491"/>
      <c r="IE180" s="491"/>
      <c r="IF180" s="491"/>
      <c r="IG180" s="491"/>
      <c r="IH180" s="491"/>
      <c r="II180" s="491"/>
      <c r="IJ180" s="491"/>
      <c r="IK180" s="491"/>
      <c r="IL180" s="491"/>
      <c r="IM180" s="491"/>
      <c r="IN180" s="491"/>
      <c r="IO180" s="491"/>
      <c r="IP180" s="491"/>
      <c r="IQ180" s="491"/>
      <c r="IR180" s="491"/>
      <c r="IS180" s="491"/>
      <c r="IT180" s="491"/>
      <c r="IU180" s="491"/>
    </row>
    <row r="181" s="43" customFormat="1" ht="20.1" customHeight="1" spans="1:255">
      <c r="A181" s="54">
        <v>176</v>
      </c>
      <c r="B181" s="89">
        <v>4933</v>
      </c>
      <c r="C181" s="89" t="s">
        <v>2348</v>
      </c>
      <c r="D181" s="89" t="s">
        <v>76</v>
      </c>
      <c r="E181" s="89" t="s">
        <v>2349</v>
      </c>
      <c r="F181" s="90"/>
      <c r="G181" s="91" t="s">
        <v>2528</v>
      </c>
      <c r="H181" s="89" t="s">
        <v>177</v>
      </c>
      <c r="I181" s="102" t="str">
        <f t="shared" si="29"/>
        <v>Nela Hastina, S.Pd</v>
      </c>
      <c r="J181" s="89" t="s">
        <v>80</v>
      </c>
      <c r="K181" s="102" t="str">
        <f t="shared" si="35"/>
        <v>Perempuan</v>
      </c>
      <c r="L181" s="91" t="s">
        <v>518</v>
      </c>
      <c r="M181" s="162">
        <v>34085</v>
      </c>
      <c r="N181" s="155" t="str">
        <f ca="1" t="shared" si="30"/>
        <v>32 Tahun 6 Bulan </v>
      </c>
      <c r="O181" s="163">
        <v>34085</v>
      </c>
      <c r="P181" s="105">
        <f ca="1" t="shared" si="33"/>
        <v>32</v>
      </c>
      <c r="Q181" s="105" t="str">
        <f ca="1" t="shared" si="34"/>
        <v>OKE</v>
      </c>
      <c r="R181" s="628" t="s">
        <v>2529</v>
      </c>
      <c r="S181" s="90"/>
      <c r="T181" s="89"/>
      <c r="U181" s="89" t="s">
        <v>83</v>
      </c>
      <c r="V181" s="91" t="s">
        <v>84</v>
      </c>
      <c r="W181" s="89" t="s">
        <v>112</v>
      </c>
      <c r="X181" s="188" t="s">
        <v>2530</v>
      </c>
      <c r="Y181" s="202">
        <v>8</v>
      </c>
      <c r="Z181" s="203"/>
      <c r="AA181" s="203"/>
      <c r="AB181" s="263" t="s">
        <v>2531</v>
      </c>
      <c r="AC181" s="204">
        <v>77372</v>
      </c>
      <c r="AD181" s="263" t="s">
        <v>1060</v>
      </c>
      <c r="AE181" s="203"/>
      <c r="AF181" s="632" t="s">
        <v>2532</v>
      </c>
      <c r="AG181" s="470" t="s">
        <v>2533</v>
      </c>
      <c r="AH181" s="203"/>
      <c r="AI181" s="203"/>
      <c r="AJ181" s="468" t="s">
        <v>2534</v>
      </c>
      <c r="AK181" s="472">
        <v>42186</v>
      </c>
      <c r="AL181" s="235" t="str">
        <f ca="1" t="shared" si="36"/>
        <v>10 Tahun 4 Bulan </v>
      </c>
      <c r="AM181" s="263" t="s">
        <v>92</v>
      </c>
      <c r="AN181" s="194" t="s">
        <v>93</v>
      </c>
      <c r="AO181" s="263" t="s">
        <v>2535</v>
      </c>
      <c r="AP181" s="204">
        <v>2</v>
      </c>
      <c r="AQ181" s="263"/>
      <c r="AR181" s="487"/>
      <c r="AS181" s="263"/>
      <c r="AT181" s="203"/>
      <c r="AU181" s="202" t="s">
        <v>883</v>
      </c>
      <c r="AV181" s="204"/>
      <c r="AW181" s="202" t="s">
        <v>100</v>
      </c>
      <c r="AX181" s="202" t="s">
        <v>101</v>
      </c>
      <c r="AY181" s="263" t="s">
        <v>2536</v>
      </c>
      <c r="AZ181" s="203"/>
      <c r="BA181" s="203"/>
      <c r="BB181" s="203"/>
      <c r="BC181" s="263" t="s">
        <v>2537</v>
      </c>
      <c r="BD181" s="493"/>
      <c r="BE181" s="204">
        <v>16</v>
      </c>
      <c r="BF181" s="204">
        <v>16</v>
      </c>
      <c r="BG181" s="263" t="s">
        <v>2536</v>
      </c>
      <c r="BH181" s="89" t="s">
        <v>301</v>
      </c>
      <c r="BI181" s="91" t="s">
        <v>2402</v>
      </c>
      <c r="BJ181" s="90" t="s">
        <v>2538</v>
      </c>
      <c r="BK181" s="89">
        <v>1192032641</v>
      </c>
      <c r="BL181" s="499"/>
      <c r="BM181" s="491"/>
      <c r="BN181" s="491"/>
      <c r="BO181" s="491"/>
      <c r="BP181" s="491"/>
      <c r="BQ181" s="491"/>
      <c r="BR181" s="491"/>
      <c r="BS181" s="491"/>
      <c r="BT181" s="491"/>
      <c r="BU181" s="491"/>
      <c r="BV181" s="491"/>
      <c r="BW181" s="491"/>
      <c r="BX181" s="491"/>
      <c r="BY181" s="491"/>
      <c r="BZ181" s="491"/>
      <c r="CA181" s="491"/>
      <c r="CB181" s="491"/>
      <c r="CC181" s="491"/>
      <c r="CD181" s="491"/>
      <c r="CE181" s="491"/>
      <c r="CF181" s="491"/>
      <c r="CG181" s="491"/>
      <c r="CH181" s="491"/>
      <c r="CI181" s="491"/>
      <c r="CJ181" s="491"/>
      <c r="CK181" s="491"/>
      <c r="CL181" s="491"/>
      <c r="CM181" s="491"/>
      <c r="CN181" s="491"/>
      <c r="CO181" s="491"/>
      <c r="CP181" s="491"/>
      <c r="CQ181" s="491"/>
      <c r="CR181" s="491"/>
      <c r="CS181" s="491"/>
      <c r="CT181" s="491"/>
      <c r="CU181" s="491"/>
      <c r="CV181" s="491"/>
      <c r="CW181" s="491"/>
      <c r="CX181" s="491"/>
      <c r="CY181" s="491"/>
      <c r="CZ181" s="491"/>
      <c r="DA181" s="491"/>
      <c r="DB181" s="491"/>
      <c r="DC181" s="491"/>
      <c r="DD181" s="491"/>
      <c r="DE181" s="491"/>
      <c r="DF181" s="491"/>
      <c r="DG181" s="491"/>
      <c r="DH181" s="491"/>
      <c r="DI181" s="491"/>
      <c r="DJ181" s="491"/>
      <c r="DK181" s="491"/>
      <c r="DL181" s="491"/>
      <c r="DM181" s="491"/>
      <c r="DN181" s="491"/>
      <c r="DO181" s="491"/>
      <c r="DP181" s="491"/>
      <c r="DQ181" s="491"/>
      <c r="DR181" s="491"/>
      <c r="DS181" s="491"/>
      <c r="DT181" s="491"/>
      <c r="DU181" s="491"/>
      <c r="DV181" s="491"/>
      <c r="DW181" s="491"/>
      <c r="DX181" s="491"/>
      <c r="DY181" s="491"/>
      <c r="DZ181" s="491"/>
      <c r="EA181" s="491"/>
      <c r="EB181" s="491"/>
      <c r="EC181" s="491"/>
      <c r="ED181" s="491"/>
      <c r="EE181" s="491"/>
      <c r="EF181" s="491"/>
      <c r="EG181" s="491"/>
      <c r="EH181" s="491"/>
      <c r="EI181" s="491"/>
      <c r="EJ181" s="491"/>
      <c r="EK181" s="491"/>
      <c r="EL181" s="491"/>
      <c r="EM181" s="491"/>
      <c r="EN181" s="491"/>
      <c r="EO181" s="491"/>
      <c r="EP181" s="491"/>
      <c r="EQ181" s="491"/>
      <c r="ER181" s="491"/>
      <c r="ES181" s="491"/>
      <c r="ET181" s="491"/>
      <c r="EU181" s="491"/>
      <c r="EV181" s="491"/>
      <c r="EW181" s="491"/>
      <c r="EX181" s="491"/>
      <c r="EY181" s="491"/>
      <c r="EZ181" s="491"/>
      <c r="FA181" s="491"/>
      <c r="FB181" s="491"/>
      <c r="FC181" s="491"/>
      <c r="FD181" s="491"/>
      <c r="FE181" s="491"/>
      <c r="FF181" s="491"/>
      <c r="FG181" s="491"/>
      <c r="FH181" s="491"/>
      <c r="FI181" s="491"/>
      <c r="FJ181" s="491"/>
      <c r="FK181" s="491"/>
      <c r="FL181" s="491"/>
      <c r="FM181" s="491"/>
      <c r="FN181" s="491"/>
      <c r="FO181" s="491"/>
      <c r="FP181" s="491"/>
      <c r="FQ181" s="491"/>
      <c r="FR181" s="491"/>
      <c r="FS181" s="491"/>
      <c r="FT181" s="491"/>
      <c r="FU181" s="491"/>
      <c r="FV181" s="491"/>
      <c r="FW181" s="491"/>
      <c r="FX181" s="491"/>
      <c r="FY181" s="491"/>
      <c r="FZ181" s="491"/>
      <c r="GA181" s="491"/>
      <c r="GB181" s="491"/>
      <c r="GC181" s="491"/>
      <c r="GD181" s="491"/>
      <c r="GE181" s="491"/>
      <c r="GF181" s="491"/>
      <c r="GG181" s="491"/>
      <c r="GH181" s="491"/>
      <c r="GI181" s="491"/>
      <c r="GJ181" s="491"/>
      <c r="GK181" s="491"/>
      <c r="GL181" s="491"/>
      <c r="GM181" s="491"/>
      <c r="GN181" s="491"/>
      <c r="GO181" s="491"/>
      <c r="GP181" s="491"/>
      <c r="GQ181" s="491"/>
      <c r="GR181" s="491"/>
      <c r="GS181" s="491"/>
      <c r="GT181" s="491"/>
      <c r="GU181" s="491"/>
      <c r="GV181" s="491"/>
      <c r="GW181" s="491"/>
      <c r="GX181" s="491"/>
      <c r="GY181" s="491"/>
      <c r="GZ181" s="491"/>
      <c r="HA181" s="491"/>
      <c r="HB181" s="491"/>
      <c r="HC181" s="491"/>
      <c r="HD181" s="491"/>
      <c r="HE181" s="491"/>
      <c r="HF181" s="491"/>
      <c r="HG181" s="491"/>
      <c r="HH181" s="491"/>
      <c r="HI181" s="491"/>
      <c r="HJ181" s="491"/>
      <c r="HK181" s="491"/>
      <c r="HL181" s="491"/>
      <c r="HM181" s="491"/>
      <c r="HN181" s="491"/>
      <c r="HO181" s="491"/>
      <c r="HP181" s="491"/>
      <c r="HQ181" s="491"/>
      <c r="HR181" s="491"/>
      <c r="HS181" s="491"/>
      <c r="HT181" s="491"/>
      <c r="HU181" s="491"/>
      <c r="HV181" s="491"/>
      <c r="HW181" s="491"/>
      <c r="HX181" s="491"/>
      <c r="HY181" s="491"/>
      <c r="HZ181" s="491"/>
      <c r="IA181" s="491"/>
      <c r="IB181" s="491"/>
      <c r="IC181" s="491"/>
      <c r="ID181" s="491"/>
      <c r="IE181" s="491"/>
      <c r="IF181" s="491"/>
      <c r="IG181" s="491"/>
      <c r="IH181" s="491"/>
      <c r="II181" s="491"/>
      <c r="IJ181" s="491"/>
      <c r="IK181" s="491"/>
      <c r="IL181" s="491"/>
      <c r="IM181" s="491"/>
      <c r="IN181" s="491"/>
      <c r="IO181" s="491"/>
      <c r="IP181" s="491"/>
      <c r="IQ181" s="491"/>
      <c r="IR181" s="491"/>
      <c r="IS181" s="491"/>
      <c r="IT181" s="491"/>
      <c r="IU181" s="491"/>
    </row>
    <row r="182" s="43" customFormat="1" ht="20.1" customHeight="1" spans="1:255">
      <c r="A182" s="54">
        <v>177</v>
      </c>
      <c r="B182" s="89">
        <v>4934</v>
      </c>
      <c r="C182" s="89" t="s">
        <v>2348</v>
      </c>
      <c r="D182" s="89" t="s">
        <v>76</v>
      </c>
      <c r="E182" s="89" t="s">
        <v>2349</v>
      </c>
      <c r="F182" s="90"/>
      <c r="G182" s="91" t="s">
        <v>2539</v>
      </c>
      <c r="H182" s="89"/>
      <c r="I182" s="102" t="str">
        <f t="shared" si="29"/>
        <v>Agus Purnawan</v>
      </c>
      <c r="J182" s="89" t="s">
        <v>127</v>
      </c>
      <c r="K182" s="102" t="str">
        <f t="shared" si="35"/>
        <v>Laki-laki</v>
      </c>
      <c r="L182" s="91" t="s">
        <v>2540</v>
      </c>
      <c r="M182" s="162">
        <v>30540</v>
      </c>
      <c r="N182" s="155" t="str">
        <f ca="1" t="shared" si="30"/>
        <v>42 Tahun 2 Bulan </v>
      </c>
      <c r="O182" s="163" t="s">
        <v>2541</v>
      </c>
      <c r="P182" s="105" t="e">
        <f ca="1" t="shared" si="33"/>
        <v>#VALUE!</v>
      </c>
      <c r="Q182" s="105" t="e">
        <f ca="1" t="shared" si="34"/>
        <v>#VALUE!</v>
      </c>
      <c r="R182" s="628" t="s">
        <v>2542</v>
      </c>
      <c r="S182" s="90"/>
      <c r="T182" s="631" t="s">
        <v>2543</v>
      </c>
      <c r="U182" s="89" t="s">
        <v>129</v>
      </c>
      <c r="V182" s="91" t="s">
        <v>84</v>
      </c>
      <c r="W182" s="89" t="s">
        <v>112</v>
      </c>
      <c r="X182" s="451" t="s">
        <v>2544</v>
      </c>
      <c r="Y182" s="454">
        <v>3</v>
      </c>
      <c r="Z182" s="249"/>
      <c r="AA182" s="249"/>
      <c r="AB182" s="449" t="s">
        <v>2545</v>
      </c>
      <c r="AC182" s="194">
        <v>77375</v>
      </c>
      <c r="AD182" s="449" t="s">
        <v>1780</v>
      </c>
      <c r="AE182" s="249"/>
      <c r="AF182" s="629" t="s">
        <v>2546</v>
      </c>
      <c r="AG182" s="470" t="s">
        <v>2547</v>
      </c>
      <c r="AH182" s="249"/>
      <c r="AI182" s="249"/>
      <c r="AJ182" s="473" t="s">
        <v>2548</v>
      </c>
      <c r="AK182" s="474">
        <v>39263</v>
      </c>
      <c r="AL182" s="235" t="str">
        <f ca="1" t="shared" si="36"/>
        <v>18 Tahun 4 Bulan </v>
      </c>
      <c r="AM182" s="464" t="s">
        <v>92</v>
      </c>
      <c r="AN182" s="194" t="s">
        <v>93</v>
      </c>
      <c r="AO182" s="449" t="s">
        <v>2549</v>
      </c>
      <c r="AP182" s="194">
        <v>2</v>
      </c>
      <c r="AQ182" s="449"/>
      <c r="AR182" s="486"/>
      <c r="AS182" s="449"/>
      <c r="AT182" s="249"/>
      <c r="AU182" s="485" t="s">
        <v>883</v>
      </c>
      <c r="AV182" s="488" t="s">
        <v>2550</v>
      </c>
      <c r="AW182" s="485" t="s">
        <v>100</v>
      </c>
      <c r="AX182" s="494" t="s">
        <v>120</v>
      </c>
      <c r="AY182" s="449" t="s">
        <v>1086</v>
      </c>
      <c r="AZ182" s="249"/>
      <c r="BA182" s="249"/>
      <c r="BB182" s="449" t="s">
        <v>390</v>
      </c>
      <c r="BC182" s="249"/>
      <c r="BD182" s="90"/>
      <c r="BE182" s="194"/>
      <c r="BF182" s="194"/>
      <c r="BG182" s="249"/>
      <c r="BH182" s="89" t="s">
        <v>301</v>
      </c>
      <c r="BI182" s="91" t="s">
        <v>1772</v>
      </c>
      <c r="BJ182" s="90" t="s">
        <v>2551</v>
      </c>
      <c r="BK182" s="89">
        <v>1712012931</v>
      </c>
      <c r="BL182" s="499"/>
      <c r="BM182" s="491"/>
      <c r="BN182" s="491"/>
      <c r="BO182" s="491"/>
      <c r="BP182" s="491"/>
      <c r="BQ182" s="491"/>
      <c r="BR182" s="491"/>
      <c r="BS182" s="491"/>
      <c r="BT182" s="491"/>
      <c r="BU182" s="491"/>
      <c r="BV182" s="491"/>
      <c r="BW182" s="491"/>
      <c r="BX182" s="491"/>
      <c r="BY182" s="491"/>
      <c r="BZ182" s="491"/>
      <c r="CA182" s="491"/>
      <c r="CB182" s="491"/>
      <c r="CC182" s="491"/>
      <c r="CD182" s="491"/>
      <c r="CE182" s="491"/>
      <c r="CF182" s="491"/>
      <c r="CG182" s="491"/>
      <c r="CH182" s="491"/>
      <c r="CI182" s="491"/>
      <c r="CJ182" s="491"/>
      <c r="CK182" s="491"/>
      <c r="CL182" s="491"/>
      <c r="CM182" s="491"/>
      <c r="CN182" s="491"/>
      <c r="CO182" s="491"/>
      <c r="CP182" s="491"/>
      <c r="CQ182" s="491"/>
      <c r="CR182" s="491"/>
      <c r="CS182" s="491"/>
      <c r="CT182" s="491"/>
      <c r="CU182" s="491"/>
      <c r="CV182" s="491"/>
      <c r="CW182" s="491"/>
      <c r="CX182" s="491"/>
      <c r="CY182" s="491"/>
      <c r="CZ182" s="491"/>
      <c r="DA182" s="491"/>
      <c r="DB182" s="491"/>
      <c r="DC182" s="491"/>
      <c r="DD182" s="491"/>
      <c r="DE182" s="491"/>
      <c r="DF182" s="491"/>
      <c r="DG182" s="491"/>
      <c r="DH182" s="491"/>
      <c r="DI182" s="491"/>
      <c r="DJ182" s="491"/>
      <c r="DK182" s="491"/>
      <c r="DL182" s="491"/>
      <c r="DM182" s="491"/>
      <c r="DN182" s="491"/>
      <c r="DO182" s="491"/>
      <c r="DP182" s="491"/>
      <c r="DQ182" s="491"/>
      <c r="DR182" s="491"/>
      <c r="DS182" s="491"/>
      <c r="DT182" s="491"/>
      <c r="DU182" s="491"/>
      <c r="DV182" s="491"/>
      <c r="DW182" s="491"/>
      <c r="DX182" s="491"/>
      <c r="DY182" s="491"/>
      <c r="DZ182" s="491"/>
      <c r="EA182" s="491"/>
      <c r="EB182" s="491"/>
      <c r="EC182" s="491"/>
      <c r="ED182" s="491"/>
      <c r="EE182" s="491"/>
      <c r="EF182" s="491"/>
      <c r="EG182" s="491"/>
      <c r="EH182" s="491"/>
      <c r="EI182" s="491"/>
      <c r="EJ182" s="491"/>
      <c r="EK182" s="491"/>
      <c r="EL182" s="491"/>
      <c r="EM182" s="491"/>
      <c r="EN182" s="491"/>
      <c r="EO182" s="491"/>
      <c r="EP182" s="491"/>
      <c r="EQ182" s="491"/>
      <c r="ER182" s="491"/>
      <c r="ES182" s="491"/>
      <c r="ET182" s="491"/>
      <c r="EU182" s="491"/>
      <c r="EV182" s="491"/>
      <c r="EW182" s="491"/>
      <c r="EX182" s="491"/>
      <c r="EY182" s="491"/>
      <c r="EZ182" s="491"/>
      <c r="FA182" s="491"/>
      <c r="FB182" s="491"/>
      <c r="FC182" s="491"/>
      <c r="FD182" s="491"/>
      <c r="FE182" s="491"/>
      <c r="FF182" s="491"/>
      <c r="FG182" s="491"/>
      <c r="FH182" s="491"/>
      <c r="FI182" s="491"/>
      <c r="FJ182" s="491"/>
      <c r="FK182" s="491"/>
      <c r="FL182" s="491"/>
      <c r="FM182" s="491"/>
      <c r="FN182" s="491"/>
      <c r="FO182" s="491"/>
      <c r="FP182" s="491"/>
      <c r="FQ182" s="491"/>
      <c r="FR182" s="491"/>
      <c r="FS182" s="491"/>
      <c r="FT182" s="491"/>
      <c r="FU182" s="491"/>
      <c r="FV182" s="491"/>
      <c r="FW182" s="491"/>
      <c r="FX182" s="491"/>
      <c r="FY182" s="491"/>
      <c r="FZ182" s="491"/>
      <c r="GA182" s="491"/>
      <c r="GB182" s="491"/>
      <c r="GC182" s="491"/>
      <c r="GD182" s="491"/>
      <c r="GE182" s="491"/>
      <c r="GF182" s="491"/>
      <c r="GG182" s="491"/>
      <c r="GH182" s="491"/>
      <c r="GI182" s="491"/>
      <c r="GJ182" s="491"/>
      <c r="GK182" s="491"/>
      <c r="GL182" s="491"/>
      <c r="GM182" s="491"/>
      <c r="GN182" s="491"/>
      <c r="GO182" s="491"/>
      <c r="GP182" s="491"/>
      <c r="GQ182" s="491"/>
      <c r="GR182" s="491"/>
      <c r="GS182" s="491"/>
      <c r="GT182" s="491"/>
      <c r="GU182" s="491"/>
      <c r="GV182" s="491"/>
      <c r="GW182" s="491"/>
      <c r="GX182" s="491"/>
      <c r="GY182" s="491"/>
      <c r="GZ182" s="491"/>
      <c r="HA182" s="491"/>
      <c r="HB182" s="491"/>
      <c r="HC182" s="491"/>
      <c r="HD182" s="491"/>
      <c r="HE182" s="491"/>
      <c r="HF182" s="491"/>
      <c r="HG182" s="491"/>
      <c r="HH182" s="491"/>
      <c r="HI182" s="491"/>
      <c r="HJ182" s="491"/>
      <c r="HK182" s="491"/>
      <c r="HL182" s="491"/>
      <c r="HM182" s="491"/>
      <c r="HN182" s="491"/>
      <c r="HO182" s="491"/>
      <c r="HP182" s="491"/>
      <c r="HQ182" s="491"/>
      <c r="HR182" s="491"/>
      <c r="HS182" s="491"/>
      <c r="HT182" s="491"/>
      <c r="HU182" s="491"/>
      <c r="HV182" s="491"/>
      <c r="HW182" s="491"/>
      <c r="HX182" s="491"/>
      <c r="HY182" s="491"/>
      <c r="HZ182" s="491"/>
      <c r="IA182" s="491"/>
      <c r="IB182" s="491"/>
      <c r="IC182" s="491"/>
      <c r="ID182" s="491"/>
      <c r="IE182" s="491"/>
      <c r="IF182" s="491"/>
      <c r="IG182" s="491"/>
      <c r="IH182" s="491"/>
      <c r="II182" s="491"/>
      <c r="IJ182" s="491"/>
      <c r="IK182" s="491"/>
      <c r="IL182" s="491"/>
      <c r="IM182" s="491"/>
      <c r="IN182" s="491"/>
      <c r="IO182" s="491"/>
      <c r="IP182" s="491"/>
      <c r="IQ182" s="491"/>
      <c r="IR182" s="491"/>
      <c r="IS182" s="491"/>
      <c r="IT182" s="491"/>
      <c r="IU182" s="491"/>
    </row>
    <row r="183" s="43" customFormat="1" ht="20.1" customHeight="1" spans="1:255">
      <c r="A183" s="54">
        <v>178</v>
      </c>
      <c r="B183" s="89">
        <v>4935</v>
      </c>
      <c r="C183" s="89" t="s">
        <v>2348</v>
      </c>
      <c r="D183" s="89" t="s">
        <v>76</v>
      </c>
      <c r="E183" s="89" t="s">
        <v>2349</v>
      </c>
      <c r="F183" s="90"/>
      <c r="G183" s="91" t="s">
        <v>2552</v>
      </c>
      <c r="H183" s="89"/>
      <c r="I183" s="102" t="str">
        <f t="shared" si="29"/>
        <v>Yulianti Nurhidayah</v>
      </c>
      <c r="J183" s="89" t="s">
        <v>80</v>
      </c>
      <c r="K183" s="102" t="str">
        <f t="shared" si="35"/>
        <v>Perempuan</v>
      </c>
      <c r="L183" s="91" t="s">
        <v>1536</v>
      </c>
      <c r="M183" s="162">
        <v>34540</v>
      </c>
      <c r="N183" s="155" t="str">
        <f ca="1" t="shared" si="30"/>
        <v>31 Tahun 3 Bulan </v>
      </c>
      <c r="O183" s="163" t="s">
        <v>2553</v>
      </c>
      <c r="P183" s="105" t="e">
        <f ca="1" t="shared" si="33"/>
        <v>#VALUE!</v>
      </c>
      <c r="Q183" s="105" t="e">
        <f ca="1" t="shared" si="34"/>
        <v>#VALUE!</v>
      </c>
      <c r="R183" s="628" t="s">
        <v>2554</v>
      </c>
      <c r="S183" s="90"/>
      <c r="T183" s="89"/>
      <c r="U183" s="89" t="s">
        <v>129</v>
      </c>
      <c r="V183" s="91" t="s">
        <v>84</v>
      </c>
      <c r="W183" s="89" t="s">
        <v>112</v>
      </c>
      <c r="X183" s="449" t="s">
        <v>2482</v>
      </c>
      <c r="Y183" s="454">
        <v>4</v>
      </c>
      <c r="Z183" s="249"/>
      <c r="AA183" s="249"/>
      <c r="AB183" s="449" t="s">
        <v>1060</v>
      </c>
      <c r="AC183" s="194">
        <v>77372</v>
      </c>
      <c r="AD183" s="449" t="s">
        <v>1060</v>
      </c>
      <c r="AE183" s="249"/>
      <c r="AF183" s="627" t="s">
        <v>2555</v>
      </c>
      <c r="AG183" s="464" t="s">
        <v>2556</v>
      </c>
      <c r="AH183" s="249"/>
      <c r="AI183" s="249"/>
      <c r="AJ183" s="249" t="s">
        <v>2358</v>
      </c>
      <c r="AK183" s="250" t="s">
        <v>2359</v>
      </c>
      <c r="AL183" s="235" t="e">
        <f ca="1" t="shared" si="36"/>
        <v>#VALUE!</v>
      </c>
      <c r="AM183" s="449" t="s">
        <v>2360</v>
      </c>
      <c r="AN183" s="194" t="s">
        <v>93</v>
      </c>
      <c r="AO183" s="449" t="s">
        <v>2557</v>
      </c>
      <c r="AP183" s="194">
        <v>1</v>
      </c>
      <c r="AQ183" s="249" t="s">
        <v>565</v>
      </c>
      <c r="AR183" s="486"/>
      <c r="AS183" s="249"/>
      <c r="AT183" s="249"/>
      <c r="AU183" s="485" t="s">
        <v>883</v>
      </c>
      <c r="AV183" s="194" t="s">
        <v>2558</v>
      </c>
      <c r="AW183" s="485" t="s">
        <v>100</v>
      </c>
      <c r="AX183" s="494" t="s">
        <v>120</v>
      </c>
      <c r="AY183" s="449" t="s">
        <v>1086</v>
      </c>
      <c r="AZ183" s="249"/>
      <c r="BA183" s="249"/>
      <c r="BB183" s="249"/>
      <c r="BC183" s="249"/>
      <c r="BD183" s="495"/>
      <c r="BE183" s="500"/>
      <c r="BF183" s="500"/>
      <c r="BG183" s="501"/>
      <c r="BH183" s="89" t="s">
        <v>301</v>
      </c>
      <c r="BI183" s="91" t="s">
        <v>2402</v>
      </c>
      <c r="BJ183" s="90" t="s">
        <v>562</v>
      </c>
      <c r="BK183" s="89">
        <v>1557778001</v>
      </c>
      <c r="BL183" s="499"/>
      <c r="BM183" s="491"/>
      <c r="BN183" s="491"/>
      <c r="BO183" s="491"/>
      <c r="BP183" s="491"/>
      <c r="BQ183" s="491"/>
      <c r="BR183" s="491"/>
      <c r="BS183" s="491"/>
      <c r="BT183" s="491"/>
      <c r="BU183" s="491"/>
      <c r="BV183" s="491"/>
      <c r="BW183" s="491"/>
      <c r="BX183" s="491"/>
      <c r="BY183" s="491"/>
      <c r="BZ183" s="491"/>
      <c r="CA183" s="491"/>
      <c r="CB183" s="491"/>
      <c r="CC183" s="491"/>
      <c r="CD183" s="491"/>
      <c r="CE183" s="491"/>
      <c r="CF183" s="491"/>
      <c r="CG183" s="491"/>
      <c r="CH183" s="491"/>
      <c r="CI183" s="491"/>
      <c r="CJ183" s="491"/>
      <c r="CK183" s="491"/>
      <c r="CL183" s="491"/>
      <c r="CM183" s="491"/>
      <c r="CN183" s="491"/>
      <c r="CO183" s="491"/>
      <c r="CP183" s="491"/>
      <c r="CQ183" s="491"/>
      <c r="CR183" s="491"/>
      <c r="CS183" s="491"/>
      <c r="CT183" s="491"/>
      <c r="CU183" s="491"/>
      <c r="CV183" s="491"/>
      <c r="CW183" s="491"/>
      <c r="CX183" s="491"/>
      <c r="CY183" s="491"/>
      <c r="CZ183" s="491"/>
      <c r="DA183" s="491"/>
      <c r="DB183" s="491"/>
      <c r="DC183" s="491"/>
      <c r="DD183" s="491"/>
      <c r="DE183" s="491"/>
      <c r="DF183" s="491"/>
      <c r="DG183" s="491"/>
      <c r="DH183" s="491"/>
      <c r="DI183" s="491"/>
      <c r="DJ183" s="491"/>
      <c r="DK183" s="491"/>
      <c r="DL183" s="491"/>
      <c r="DM183" s="491"/>
      <c r="DN183" s="491"/>
      <c r="DO183" s="491"/>
      <c r="DP183" s="491"/>
      <c r="DQ183" s="491"/>
      <c r="DR183" s="491"/>
      <c r="DS183" s="491"/>
      <c r="DT183" s="491"/>
      <c r="DU183" s="491"/>
      <c r="DV183" s="491"/>
      <c r="DW183" s="491"/>
      <c r="DX183" s="491"/>
      <c r="DY183" s="491"/>
      <c r="DZ183" s="491"/>
      <c r="EA183" s="491"/>
      <c r="EB183" s="491"/>
      <c r="EC183" s="491"/>
      <c r="ED183" s="491"/>
      <c r="EE183" s="491"/>
      <c r="EF183" s="491"/>
      <c r="EG183" s="491"/>
      <c r="EH183" s="491"/>
      <c r="EI183" s="491"/>
      <c r="EJ183" s="491"/>
      <c r="EK183" s="491"/>
      <c r="EL183" s="491"/>
      <c r="EM183" s="491"/>
      <c r="EN183" s="491"/>
      <c r="EO183" s="491"/>
      <c r="EP183" s="491"/>
      <c r="EQ183" s="491"/>
      <c r="ER183" s="491"/>
      <c r="ES183" s="491"/>
      <c r="ET183" s="491"/>
      <c r="EU183" s="491"/>
      <c r="EV183" s="491"/>
      <c r="EW183" s="491"/>
      <c r="EX183" s="491"/>
      <c r="EY183" s="491"/>
      <c r="EZ183" s="491"/>
      <c r="FA183" s="491"/>
      <c r="FB183" s="491"/>
      <c r="FC183" s="491"/>
      <c r="FD183" s="491"/>
      <c r="FE183" s="491"/>
      <c r="FF183" s="491"/>
      <c r="FG183" s="491"/>
      <c r="FH183" s="491"/>
      <c r="FI183" s="491"/>
      <c r="FJ183" s="491"/>
      <c r="FK183" s="491"/>
      <c r="FL183" s="491"/>
      <c r="FM183" s="491"/>
      <c r="FN183" s="491"/>
      <c r="FO183" s="491"/>
      <c r="FP183" s="491"/>
      <c r="FQ183" s="491"/>
      <c r="FR183" s="491"/>
      <c r="FS183" s="491"/>
      <c r="FT183" s="491"/>
      <c r="FU183" s="491"/>
      <c r="FV183" s="491"/>
      <c r="FW183" s="491"/>
      <c r="FX183" s="491"/>
      <c r="FY183" s="491"/>
      <c r="FZ183" s="491"/>
      <c r="GA183" s="491"/>
      <c r="GB183" s="491"/>
      <c r="GC183" s="491"/>
      <c r="GD183" s="491"/>
      <c r="GE183" s="491"/>
      <c r="GF183" s="491"/>
      <c r="GG183" s="491"/>
      <c r="GH183" s="491"/>
      <c r="GI183" s="491"/>
      <c r="GJ183" s="491"/>
      <c r="GK183" s="491"/>
      <c r="GL183" s="491"/>
      <c r="GM183" s="491"/>
      <c r="GN183" s="491"/>
      <c r="GO183" s="491"/>
      <c r="GP183" s="491"/>
      <c r="GQ183" s="491"/>
      <c r="GR183" s="491"/>
      <c r="GS183" s="491"/>
      <c r="GT183" s="491"/>
      <c r="GU183" s="491"/>
      <c r="GV183" s="491"/>
      <c r="GW183" s="491"/>
      <c r="GX183" s="491"/>
      <c r="GY183" s="491"/>
      <c r="GZ183" s="491"/>
      <c r="HA183" s="491"/>
      <c r="HB183" s="491"/>
      <c r="HC183" s="491"/>
      <c r="HD183" s="491"/>
      <c r="HE183" s="491"/>
      <c r="HF183" s="491"/>
      <c r="HG183" s="491"/>
      <c r="HH183" s="491"/>
      <c r="HI183" s="491"/>
      <c r="HJ183" s="491"/>
      <c r="HK183" s="491"/>
      <c r="HL183" s="491"/>
      <c r="HM183" s="491"/>
      <c r="HN183" s="491"/>
      <c r="HO183" s="491"/>
      <c r="HP183" s="491"/>
      <c r="HQ183" s="491"/>
      <c r="HR183" s="491"/>
      <c r="HS183" s="491"/>
      <c r="HT183" s="491"/>
      <c r="HU183" s="491"/>
      <c r="HV183" s="491"/>
      <c r="HW183" s="491"/>
      <c r="HX183" s="491"/>
      <c r="HY183" s="491"/>
      <c r="HZ183" s="491"/>
      <c r="IA183" s="491"/>
      <c r="IB183" s="491"/>
      <c r="IC183" s="491"/>
      <c r="ID183" s="491"/>
      <c r="IE183" s="491"/>
      <c r="IF183" s="491"/>
      <c r="IG183" s="491"/>
      <c r="IH183" s="491"/>
      <c r="II183" s="491"/>
      <c r="IJ183" s="491"/>
      <c r="IK183" s="491"/>
      <c r="IL183" s="491"/>
      <c r="IM183" s="491"/>
      <c r="IN183" s="491"/>
      <c r="IO183" s="491"/>
      <c r="IP183" s="491"/>
      <c r="IQ183" s="491"/>
      <c r="IR183" s="491"/>
      <c r="IS183" s="491"/>
      <c r="IT183" s="491"/>
      <c r="IU183" s="491"/>
    </row>
    <row r="184" s="43" customFormat="1" ht="20.1" customHeight="1" spans="1:255">
      <c r="A184" s="54">
        <v>179</v>
      </c>
      <c r="B184" s="89">
        <v>4937</v>
      </c>
      <c r="C184" s="89" t="s">
        <v>2348</v>
      </c>
      <c r="D184" s="89" t="s">
        <v>76</v>
      </c>
      <c r="E184" s="89" t="s">
        <v>2349</v>
      </c>
      <c r="F184" s="90"/>
      <c r="G184" s="91" t="s">
        <v>2559</v>
      </c>
      <c r="H184" s="89"/>
      <c r="I184" s="102" t="str">
        <f t="shared" si="29"/>
        <v>Paing</v>
      </c>
      <c r="J184" s="89" t="s">
        <v>127</v>
      </c>
      <c r="K184" s="102" t="str">
        <f t="shared" si="35"/>
        <v>Laki-laki</v>
      </c>
      <c r="L184" s="91" t="s">
        <v>2560</v>
      </c>
      <c r="M184" s="162">
        <v>30857</v>
      </c>
      <c r="N184" s="155" t="str">
        <f ca="1" t="shared" si="30"/>
        <v>41 Tahun 4 Bulan </v>
      </c>
      <c r="O184" s="163" t="s">
        <v>2561</v>
      </c>
      <c r="P184" s="105" t="e">
        <f ca="1" t="shared" si="33"/>
        <v>#VALUE!</v>
      </c>
      <c r="Q184" s="105" t="e">
        <f ca="1" t="shared" si="34"/>
        <v>#VALUE!</v>
      </c>
      <c r="R184" s="628" t="s">
        <v>2562</v>
      </c>
      <c r="S184" s="90"/>
      <c r="T184" s="89"/>
      <c r="U184" s="89" t="s">
        <v>129</v>
      </c>
      <c r="V184" s="91" t="s">
        <v>84</v>
      </c>
      <c r="W184" s="89" t="s">
        <v>112</v>
      </c>
      <c r="X184" s="263" t="s">
        <v>2563</v>
      </c>
      <c r="Y184" s="202">
        <v>2</v>
      </c>
      <c r="Z184" s="203"/>
      <c r="AA184" s="203"/>
      <c r="AB184" s="263" t="s">
        <v>2408</v>
      </c>
      <c r="AC184" s="204">
        <v>77372</v>
      </c>
      <c r="AD184" s="263" t="s">
        <v>1060</v>
      </c>
      <c r="AE184" s="203"/>
      <c r="AF184" s="632" t="s">
        <v>2564</v>
      </c>
      <c r="AG184" s="248" t="s">
        <v>2565</v>
      </c>
      <c r="AH184" s="203"/>
      <c r="AI184" s="203"/>
      <c r="AJ184" s="449" t="s">
        <v>2448</v>
      </c>
      <c r="AK184" s="250">
        <v>42371</v>
      </c>
      <c r="AL184" s="235" t="str">
        <f ca="1" t="shared" si="36"/>
        <v>9 Tahun 10 Bulan </v>
      </c>
      <c r="AM184" s="449" t="s">
        <v>2360</v>
      </c>
      <c r="AN184" s="194" t="s">
        <v>93</v>
      </c>
      <c r="AO184" s="188" t="s">
        <v>2566</v>
      </c>
      <c r="AP184" s="204">
        <v>1</v>
      </c>
      <c r="AQ184" s="203" t="s">
        <v>2567</v>
      </c>
      <c r="AR184" s="487"/>
      <c r="AS184" s="263" t="s">
        <v>2076</v>
      </c>
      <c r="AT184" s="203"/>
      <c r="AU184" s="202" t="s">
        <v>883</v>
      </c>
      <c r="AV184" s="204"/>
      <c r="AW184" s="202" t="s">
        <v>100</v>
      </c>
      <c r="AX184" s="494" t="s">
        <v>120</v>
      </c>
      <c r="AY184" s="263" t="s">
        <v>1086</v>
      </c>
      <c r="AZ184" s="203"/>
      <c r="BA184" s="203"/>
      <c r="BB184" s="91"/>
      <c r="BC184" s="496"/>
      <c r="BD184" s="90"/>
      <c r="BE184" s="89"/>
      <c r="BF184" s="89"/>
      <c r="BG184" s="90"/>
      <c r="BH184" s="89" t="s">
        <v>301</v>
      </c>
      <c r="BI184" s="91" t="s">
        <v>2402</v>
      </c>
      <c r="BJ184" s="90" t="s">
        <v>2568</v>
      </c>
      <c r="BK184" s="89">
        <v>1192032675</v>
      </c>
      <c r="BL184" s="499"/>
      <c r="BM184" s="491"/>
      <c r="BN184" s="491"/>
      <c r="BO184" s="491"/>
      <c r="BP184" s="491"/>
      <c r="BQ184" s="491"/>
      <c r="BR184" s="491"/>
      <c r="BS184" s="491"/>
      <c r="BT184" s="491"/>
      <c r="BU184" s="491"/>
      <c r="BV184" s="491"/>
      <c r="BW184" s="491"/>
      <c r="BX184" s="491"/>
      <c r="BY184" s="491"/>
      <c r="BZ184" s="491"/>
      <c r="CA184" s="491"/>
      <c r="CB184" s="491"/>
      <c r="CC184" s="491"/>
      <c r="CD184" s="491"/>
      <c r="CE184" s="491"/>
      <c r="CF184" s="491"/>
      <c r="CG184" s="491"/>
      <c r="CH184" s="491"/>
      <c r="CI184" s="491"/>
      <c r="CJ184" s="491"/>
      <c r="CK184" s="491"/>
      <c r="CL184" s="491"/>
      <c r="CM184" s="491"/>
      <c r="CN184" s="491"/>
      <c r="CO184" s="491"/>
      <c r="CP184" s="491"/>
      <c r="CQ184" s="491"/>
      <c r="CR184" s="491"/>
      <c r="CS184" s="491"/>
      <c r="CT184" s="491"/>
      <c r="CU184" s="491"/>
      <c r="CV184" s="491"/>
      <c r="CW184" s="491"/>
      <c r="CX184" s="491"/>
      <c r="CY184" s="491"/>
      <c r="CZ184" s="491"/>
      <c r="DA184" s="491"/>
      <c r="DB184" s="491"/>
      <c r="DC184" s="491"/>
      <c r="DD184" s="491"/>
      <c r="DE184" s="491"/>
      <c r="DF184" s="491"/>
      <c r="DG184" s="491"/>
      <c r="DH184" s="491"/>
      <c r="DI184" s="491"/>
      <c r="DJ184" s="491"/>
      <c r="DK184" s="491"/>
      <c r="DL184" s="491"/>
      <c r="DM184" s="491"/>
      <c r="DN184" s="491"/>
      <c r="DO184" s="491"/>
      <c r="DP184" s="491"/>
      <c r="DQ184" s="491"/>
      <c r="DR184" s="491"/>
      <c r="DS184" s="491"/>
      <c r="DT184" s="491"/>
      <c r="DU184" s="491"/>
      <c r="DV184" s="491"/>
      <c r="DW184" s="491"/>
      <c r="DX184" s="491"/>
      <c r="DY184" s="491"/>
      <c r="DZ184" s="491"/>
      <c r="EA184" s="491"/>
      <c r="EB184" s="491"/>
      <c r="EC184" s="491"/>
      <c r="ED184" s="491"/>
      <c r="EE184" s="491"/>
      <c r="EF184" s="491"/>
      <c r="EG184" s="491"/>
      <c r="EH184" s="491"/>
      <c r="EI184" s="491"/>
      <c r="EJ184" s="491"/>
      <c r="EK184" s="491"/>
      <c r="EL184" s="491"/>
      <c r="EM184" s="491"/>
      <c r="EN184" s="491"/>
      <c r="EO184" s="491"/>
      <c r="EP184" s="491"/>
      <c r="EQ184" s="491"/>
      <c r="ER184" s="491"/>
      <c r="ES184" s="491"/>
      <c r="ET184" s="491"/>
      <c r="EU184" s="491"/>
      <c r="EV184" s="491"/>
      <c r="EW184" s="491"/>
      <c r="EX184" s="491"/>
      <c r="EY184" s="491"/>
      <c r="EZ184" s="491"/>
      <c r="FA184" s="491"/>
      <c r="FB184" s="491"/>
      <c r="FC184" s="491"/>
      <c r="FD184" s="491"/>
      <c r="FE184" s="491"/>
      <c r="FF184" s="491"/>
      <c r="FG184" s="491"/>
      <c r="FH184" s="491"/>
      <c r="FI184" s="491"/>
      <c r="FJ184" s="491"/>
      <c r="FK184" s="491"/>
      <c r="FL184" s="491"/>
      <c r="FM184" s="491"/>
      <c r="FN184" s="491"/>
      <c r="FO184" s="491"/>
      <c r="FP184" s="491"/>
      <c r="FQ184" s="491"/>
      <c r="FR184" s="491"/>
      <c r="FS184" s="491"/>
      <c r="FT184" s="491"/>
      <c r="FU184" s="491"/>
      <c r="FV184" s="491"/>
      <c r="FW184" s="491"/>
      <c r="FX184" s="491"/>
      <c r="FY184" s="491"/>
      <c r="FZ184" s="491"/>
      <c r="GA184" s="491"/>
      <c r="GB184" s="491"/>
      <c r="GC184" s="491"/>
      <c r="GD184" s="491"/>
      <c r="GE184" s="491"/>
      <c r="GF184" s="491"/>
      <c r="GG184" s="491"/>
      <c r="GH184" s="491"/>
      <c r="GI184" s="491"/>
      <c r="GJ184" s="491"/>
      <c r="GK184" s="491"/>
      <c r="GL184" s="491"/>
      <c r="GM184" s="491"/>
      <c r="GN184" s="491"/>
      <c r="GO184" s="491"/>
      <c r="GP184" s="491"/>
      <c r="GQ184" s="491"/>
      <c r="GR184" s="491"/>
      <c r="GS184" s="491"/>
      <c r="GT184" s="491"/>
      <c r="GU184" s="491"/>
      <c r="GV184" s="491"/>
      <c r="GW184" s="491"/>
      <c r="GX184" s="491"/>
      <c r="GY184" s="491"/>
      <c r="GZ184" s="491"/>
      <c r="HA184" s="491"/>
      <c r="HB184" s="491"/>
      <c r="HC184" s="491"/>
      <c r="HD184" s="491"/>
      <c r="HE184" s="491"/>
      <c r="HF184" s="491"/>
      <c r="HG184" s="491"/>
      <c r="HH184" s="491"/>
      <c r="HI184" s="491"/>
      <c r="HJ184" s="491"/>
      <c r="HK184" s="491"/>
      <c r="HL184" s="491"/>
      <c r="HM184" s="491"/>
      <c r="HN184" s="491"/>
      <c r="HO184" s="491"/>
      <c r="HP184" s="491"/>
      <c r="HQ184" s="491"/>
      <c r="HR184" s="491"/>
      <c r="HS184" s="491"/>
      <c r="HT184" s="491"/>
      <c r="HU184" s="491"/>
      <c r="HV184" s="491"/>
      <c r="HW184" s="491"/>
      <c r="HX184" s="491"/>
      <c r="HY184" s="491"/>
      <c r="HZ184" s="491"/>
      <c r="IA184" s="491"/>
      <c r="IB184" s="491"/>
      <c r="IC184" s="491"/>
      <c r="ID184" s="491"/>
      <c r="IE184" s="491"/>
      <c r="IF184" s="491"/>
      <c r="IG184" s="491"/>
      <c r="IH184" s="491"/>
      <c r="II184" s="491"/>
      <c r="IJ184" s="491"/>
      <c r="IK184" s="491"/>
      <c r="IL184" s="491"/>
      <c r="IM184" s="491"/>
      <c r="IN184" s="491"/>
      <c r="IO184" s="491"/>
      <c r="IP184" s="491"/>
      <c r="IQ184" s="491"/>
      <c r="IR184" s="491"/>
      <c r="IS184" s="491"/>
      <c r="IT184" s="491"/>
      <c r="IU184" s="491"/>
    </row>
    <row r="185" s="43" customFormat="1" spans="1:255">
      <c r="A185" s="54">
        <v>180</v>
      </c>
      <c r="B185" s="98">
        <v>2741</v>
      </c>
      <c r="C185" s="97" t="s">
        <v>509</v>
      </c>
      <c r="D185" s="97" t="s">
        <v>76</v>
      </c>
      <c r="E185" s="99" t="s">
        <v>2569</v>
      </c>
      <c r="F185" s="190"/>
      <c r="G185" s="99" t="s">
        <v>1502</v>
      </c>
      <c r="H185" s="97" t="s">
        <v>1328</v>
      </c>
      <c r="I185" s="102" t="str">
        <f t="shared" si="29"/>
        <v>Abdul Rahman, S.Pd.I</v>
      </c>
      <c r="J185" s="96" t="s">
        <v>127</v>
      </c>
      <c r="K185" s="97" t="s">
        <v>2570</v>
      </c>
      <c r="L185" s="99" t="s">
        <v>2571</v>
      </c>
      <c r="M185" s="443">
        <v>29230</v>
      </c>
      <c r="N185" s="444" t="str">
        <f ca="1" t="shared" si="30"/>
        <v>45 Tahun 9 Bulan </v>
      </c>
      <c r="O185" s="445">
        <v>29230</v>
      </c>
      <c r="P185" s="98">
        <f ca="1" t="shared" si="33"/>
        <v>45</v>
      </c>
      <c r="Q185" s="98" t="str">
        <f ca="1" t="shared" si="34"/>
        <v>OKE</v>
      </c>
      <c r="R185" s="635" t="s">
        <v>2572</v>
      </c>
      <c r="S185" s="190"/>
      <c r="T185" s="190"/>
      <c r="U185" s="97" t="s">
        <v>83</v>
      </c>
      <c r="V185" s="97" t="s">
        <v>84</v>
      </c>
      <c r="W185" s="97" t="s">
        <v>112</v>
      </c>
      <c r="X185" s="190" t="s">
        <v>2573</v>
      </c>
      <c r="Y185" s="636" t="s">
        <v>2574</v>
      </c>
      <c r="Z185" s="190"/>
      <c r="AA185" s="190"/>
      <c r="AB185" s="97" t="s">
        <v>2573</v>
      </c>
      <c r="AC185" s="98">
        <v>77375</v>
      </c>
      <c r="AD185" s="97" t="s">
        <v>1053</v>
      </c>
      <c r="AE185" s="190"/>
      <c r="AF185" s="637" t="s">
        <v>2575</v>
      </c>
      <c r="AG185" s="475"/>
      <c r="AH185" s="190"/>
      <c r="AI185" s="190"/>
      <c r="AJ185" s="476" t="s">
        <v>2576</v>
      </c>
      <c r="AK185" s="477" t="s">
        <v>1056</v>
      </c>
      <c r="AL185" s="155" t="str">
        <f ca="1" t="shared" si="36"/>
        <v>11 Tahun 10 Bulan </v>
      </c>
      <c r="AM185" s="476" t="s">
        <v>1238</v>
      </c>
      <c r="AN185" s="476" t="s">
        <v>93</v>
      </c>
      <c r="AO185" s="97" t="s">
        <v>2577</v>
      </c>
      <c r="AP185" s="97" t="s">
        <v>838</v>
      </c>
      <c r="AQ185" s="97" t="s">
        <v>2578</v>
      </c>
      <c r="AR185" s="190"/>
      <c r="AS185" s="97" t="s">
        <v>941</v>
      </c>
      <c r="AT185" s="190"/>
      <c r="AU185" s="97"/>
      <c r="AV185" s="99" t="s">
        <v>2579</v>
      </c>
      <c r="AW185" s="98" t="s">
        <v>100</v>
      </c>
      <c r="AX185" s="98" t="s">
        <v>101</v>
      </c>
      <c r="AY185" s="99" t="s">
        <v>606</v>
      </c>
      <c r="AZ185" s="190"/>
      <c r="BA185" s="190"/>
      <c r="BB185" s="475" t="s">
        <v>2580</v>
      </c>
      <c r="BC185" s="190" t="s">
        <v>2581</v>
      </c>
      <c r="BD185" s="98">
        <v>4</v>
      </c>
      <c r="BE185" s="98">
        <v>23</v>
      </c>
      <c r="BF185" s="98">
        <v>27</v>
      </c>
      <c r="BG185" s="190"/>
      <c r="BH185" s="96" t="s">
        <v>301</v>
      </c>
      <c r="BI185" s="97" t="s">
        <v>2582</v>
      </c>
      <c r="BJ185" s="99" t="s">
        <v>1502</v>
      </c>
      <c r="BK185" s="638" t="s">
        <v>2583</v>
      </c>
      <c r="BL185" s="499"/>
      <c r="BM185" s="491"/>
      <c r="BN185" s="491"/>
      <c r="BO185" s="491"/>
      <c r="BP185" s="491"/>
      <c r="BQ185" s="491"/>
      <c r="BR185" s="491"/>
      <c r="BS185" s="491"/>
      <c r="BT185" s="491"/>
      <c r="BU185" s="491"/>
      <c r="BV185" s="491"/>
      <c r="BW185" s="491"/>
      <c r="BX185" s="491"/>
      <c r="BY185" s="491"/>
      <c r="BZ185" s="491"/>
      <c r="CA185" s="491"/>
      <c r="CB185" s="491"/>
      <c r="CC185" s="491"/>
      <c r="CD185" s="491"/>
      <c r="CE185" s="491"/>
      <c r="CF185" s="491"/>
      <c r="CG185" s="491"/>
      <c r="CH185" s="491"/>
      <c r="CI185" s="491"/>
      <c r="CJ185" s="491"/>
      <c r="CK185" s="491"/>
      <c r="CL185" s="491"/>
      <c r="CM185" s="491"/>
      <c r="CN185" s="491"/>
      <c r="CO185" s="491"/>
      <c r="CP185" s="491"/>
      <c r="CQ185" s="491"/>
      <c r="CR185" s="491"/>
      <c r="CS185" s="491"/>
      <c r="CT185" s="491"/>
      <c r="CU185" s="491"/>
      <c r="CV185" s="491"/>
      <c r="CW185" s="491"/>
      <c r="CX185" s="491"/>
      <c r="CY185" s="491"/>
      <c r="CZ185" s="491"/>
      <c r="DA185" s="491"/>
      <c r="DB185" s="491"/>
      <c r="DC185" s="491"/>
      <c r="DD185" s="491"/>
      <c r="DE185" s="491"/>
      <c r="DF185" s="491"/>
      <c r="DG185" s="491"/>
      <c r="DH185" s="491"/>
      <c r="DI185" s="491"/>
      <c r="DJ185" s="491"/>
      <c r="DK185" s="491"/>
      <c r="DL185" s="491"/>
      <c r="DM185" s="491"/>
      <c r="DN185" s="491"/>
      <c r="DO185" s="491"/>
      <c r="DP185" s="491"/>
      <c r="DQ185" s="491"/>
      <c r="DR185" s="491"/>
      <c r="DS185" s="491"/>
      <c r="DT185" s="491"/>
      <c r="DU185" s="491"/>
      <c r="DV185" s="491"/>
      <c r="DW185" s="491"/>
      <c r="DX185" s="491"/>
      <c r="DY185" s="491"/>
      <c r="DZ185" s="491"/>
      <c r="EA185" s="491"/>
      <c r="EB185" s="491"/>
      <c r="EC185" s="491"/>
      <c r="ED185" s="491"/>
      <c r="EE185" s="491"/>
      <c r="EF185" s="491"/>
      <c r="EG185" s="491"/>
      <c r="EH185" s="491"/>
      <c r="EI185" s="491"/>
      <c r="EJ185" s="491"/>
      <c r="EK185" s="491"/>
      <c r="EL185" s="491"/>
      <c r="EM185" s="491"/>
      <c r="EN185" s="491"/>
      <c r="EO185" s="491"/>
      <c r="EP185" s="491"/>
      <c r="EQ185" s="491"/>
      <c r="ER185" s="491"/>
      <c r="ES185" s="491"/>
      <c r="ET185" s="491"/>
      <c r="EU185" s="491"/>
      <c r="EV185" s="491"/>
      <c r="EW185" s="491"/>
      <c r="EX185" s="491"/>
      <c r="EY185" s="491"/>
      <c r="EZ185" s="491"/>
      <c r="FA185" s="491"/>
      <c r="FB185" s="491"/>
      <c r="FC185" s="491"/>
      <c r="FD185" s="491"/>
      <c r="FE185" s="491"/>
      <c r="FF185" s="491"/>
      <c r="FG185" s="491"/>
      <c r="FH185" s="491"/>
      <c r="FI185" s="491"/>
      <c r="FJ185" s="491"/>
      <c r="FK185" s="491"/>
      <c r="FL185" s="491"/>
      <c r="FM185" s="491"/>
      <c r="FN185" s="491"/>
      <c r="FO185" s="491"/>
      <c r="FP185" s="491"/>
      <c r="FQ185" s="491"/>
      <c r="FR185" s="491"/>
      <c r="FS185" s="491"/>
      <c r="FT185" s="491"/>
      <c r="FU185" s="491"/>
      <c r="FV185" s="491"/>
      <c r="FW185" s="491"/>
      <c r="FX185" s="491"/>
      <c r="FY185" s="491"/>
      <c r="FZ185" s="491"/>
      <c r="GA185" s="491"/>
      <c r="GB185" s="491"/>
      <c r="GC185" s="491"/>
      <c r="GD185" s="491"/>
      <c r="GE185" s="491"/>
      <c r="GF185" s="491"/>
      <c r="GG185" s="491"/>
      <c r="GH185" s="491"/>
      <c r="GI185" s="491"/>
      <c r="GJ185" s="491"/>
      <c r="GK185" s="491"/>
      <c r="GL185" s="491"/>
      <c r="GM185" s="491"/>
      <c r="GN185" s="491"/>
      <c r="GO185" s="491"/>
      <c r="GP185" s="491"/>
      <c r="GQ185" s="491"/>
      <c r="GR185" s="491"/>
      <c r="GS185" s="491"/>
      <c r="GT185" s="491"/>
      <c r="GU185" s="491"/>
      <c r="GV185" s="491"/>
      <c r="GW185" s="491"/>
      <c r="GX185" s="491"/>
      <c r="GY185" s="491"/>
      <c r="GZ185" s="491"/>
      <c r="HA185" s="491"/>
      <c r="HB185" s="491"/>
      <c r="HC185" s="491"/>
      <c r="HD185" s="491"/>
      <c r="HE185" s="491"/>
      <c r="HF185" s="491"/>
      <c r="HG185" s="491"/>
      <c r="HH185" s="491"/>
      <c r="HI185" s="491"/>
      <c r="HJ185" s="491"/>
      <c r="HK185" s="491"/>
      <c r="HL185" s="491"/>
      <c r="HM185" s="491"/>
      <c r="HN185" s="491"/>
      <c r="HO185" s="491"/>
      <c r="HP185" s="491"/>
      <c r="HQ185" s="491"/>
      <c r="HR185" s="491"/>
      <c r="HS185" s="491"/>
      <c r="HT185" s="491"/>
      <c r="HU185" s="491"/>
      <c r="HV185" s="491"/>
      <c r="HW185" s="491"/>
      <c r="HX185" s="491"/>
      <c r="HY185" s="491"/>
      <c r="HZ185" s="491"/>
      <c r="IA185" s="491"/>
      <c r="IB185" s="491"/>
      <c r="IC185" s="491"/>
      <c r="ID185" s="491"/>
      <c r="IE185" s="491"/>
      <c r="IF185" s="491"/>
      <c r="IG185" s="491"/>
      <c r="IH185" s="491"/>
      <c r="II185" s="491"/>
      <c r="IJ185" s="491"/>
      <c r="IK185" s="491"/>
      <c r="IL185" s="491"/>
      <c r="IM185" s="491"/>
      <c r="IN185" s="491"/>
      <c r="IO185" s="491"/>
      <c r="IP185" s="491"/>
      <c r="IQ185" s="491"/>
      <c r="IR185" s="491"/>
      <c r="IS185" s="491"/>
      <c r="IT185" s="491"/>
      <c r="IU185" s="491"/>
    </row>
    <row r="186" s="43" customFormat="1" spans="1:255">
      <c r="A186" s="54">
        <v>181</v>
      </c>
      <c r="B186" s="98">
        <v>2742</v>
      </c>
      <c r="C186" s="97" t="s">
        <v>509</v>
      </c>
      <c r="D186" s="97" t="s">
        <v>76</v>
      </c>
      <c r="E186" s="99" t="s">
        <v>2569</v>
      </c>
      <c r="F186" s="190"/>
      <c r="G186" s="99" t="s">
        <v>2584</v>
      </c>
      <c r="H186" s="97" t="s">
        <v>177</v>
      </c>
      <c r="I186" s="102" t="str">
        <f t="shared" si="29"/>
        <v>Andi Yusnita, S.Pd</v>
      </c>
      <c r="J186" s="96" t="s">
        <v>80</v>
      </c>
      <c r="K186" s="97" t="str">
        <f>IF(J186="P","Perempuan",IF(J186="L","Laki-laki"))</f>
        <v>Perempuan</v>
      </c>
      <c r="L186" s="99" t="s">
        <v>2585</v>
      </c>
      <c r="M186" s="443">
        <v>32808</v>
      </c>
      <c r="N186" s="444" t="str">
        <f ca="1" t="shared" si="30"/>
        <v>36 Tahun 0 Bulan </v>
      </c>
      <c r="O186" s="445">
        <v>32808</v>
      </c>
      <c r="P186" s="98">
        <f ca="1" t="shared" si="33"/>
        <v>36</v>
      </c>
      <c r="Q186" s="98" t="str">
        <f ca="1" t="shared" si="34"/>
        <v>OKE</v>
      </c>
      <c r="R186" s="635" t="s">
        <v>2586</v>
      </c>
      <c r="S186" s="190"/>
      <c r="T186" s="190"/>
      <c r="U186" s="97" t="s">
        <v>83</v>
      </c>
      <c r="V186" s="97" t="s">
        <v>84</v>
      </c>
      <c r="W186" s="97" t="s">
        <v>112</v>
      </c>
      <c r="X186" s="190" t="s">
        <v>2587</v>
      </c>
      <c r="Y186" s="190"/>
      <c r="Z186" s="190"/>
      <c r="AA186" s="190"/>
      <c r="AB186" s="97" t="s">
        <v>2585</v>
      </c>
      <c r="AC186" s="98">
        <v>77375</v>
      </c>
      <c r="AD186" s="97" t="s">
        <v>1053</v>
      </c>
      <c r="AE186" s="190"/>
      <c r="AF186" s="637" t="s">
        <v>2588</v>
      </c>
      <c r="AG186" s="475"/>
      <c r="AH186" s="190"/>
      <c r="AI186" s="190"/>
      <c r="AJ186" s="476" t="s">
        <v>2576</v>
      </c>
      <c r="AK186" s="477" t="s">
        <v>1056</v>
      </c>
      <c r="AL186" s="155" t="str">
        <f ca="1" t="shared" si="36"/>
        <v>11 Tahun 10 Bulan </v>
      </c>
      <c r="AM186" s="476" t="s">
        <v>1238</v>
      </c>
      <c r="AN186" s="476" t="s">
        <v>93</v>
      </c>
      <c r="AO186" s="97" t="s">
        <v>2589</v>
      </c>
      <c r="AP186" s="97" t="s">
        <v>838</v>
      </c>
      <c r="AQ186" s="97" t="s">
        <v>2590</v>
      </c>
      <c r="AR186" s="190"/>
      <c r="AS186" s="97" t="s">
        <v>98</v>
      </c>
      <c r="AT186" s="190"/>
      <c r="AU186" s="97"/>
      <c r="AV186" s="99" t="s">
        <v>2591</v>
      </c>
      <c r="AW186" s="98" t="s">
        <v>100</v>
      </c>
      <c r="AX186" s="98" t="s">
        <v>101</v>
      </c>
      <c r="AY186" s="99" t="s">
        <v>619</v>
      </c>
      <c r="AZ186" s="190"/>
      <c r="BA186" s="190"/>
      <c r="BB186" s="475" t="s">
        <v>346</v>
      </c>
      <c r="BC186" s="190" t="s">
        <v>2592</v>
      </c>
      <c r="BD186" s="98">
        <v>2</v>
      </c>
      <c r="BE186" s="98">
        <v>19</v>
      </c>
      <c r="BF186" s="98">
        <v>21</v>
      </c>
      <c r="BG186" s="190"/>
      <c r="BH186" s="96" t="s">
        <v>301</v>
      </c>
      <c r="BI186" s="97" t="s">
        <v>2582</v>
      </c>
      <c r="BJ186" s="99" t="s">
        <v>2584</v>
      </c>
      <c r="BK186" s="638" t="s">
        <v>2593</v>
      </c>
      <c r="BL186" s="499"/>
      <c r="BM186" s="491"/>
      <c r="BN186" s="491"/>
      <c r="BO186" s="491"/>
      <c r="BP186" s="491"/>
      <c r="BQ186" s="491"/>
      <c r="BR186" s="491"/>
      <c r="BS186" s="491"/>
      <c r="BT186" s="491"/>
      <c r="BU186" s="491"/>
      <c r="BV186" s="491"/>
      <c r="BW186" s="491"/>
      <c r="BX186" s="491"/>
      <c r="BY186" s="491"/>
      <c r="BZ186" s="491"/>
      <c r="CA186" s="491"/>
      <c r="CB186" s="491"/>
      <c r="CC186" s="491"/>
      <c r="CD186" s="491"/>
      <c r="CE186" s="491"/>
      <c r="CF186" s="491"/>
      <c r="CG186" s="491"/>
      <c r="CH186" s="491"/>
      <c r="CI186" s="491"/>
      <c r="CJ186" s="491"/>
      <c r="CK186" s="491"/>
      <c r="CL186" s="491"/>
      <c r="CM186" s="491"/>
      <c r="CN186" s="491"/>
      <c r="CO186" s="491"/>
      <c r="CP186" s="491"/>
      <c r="CQ186" s="491"/>
      <c r="CR186" s="491"/>
      <c r="CS186" s="491"/>
      <c r="CT186" s="491"/>
      <c r="CU186" s="491"/>
      <c r="CV186" s="491"/>
      <c r="CW186" s="491"/>
      <c r="CX186" s="491"/>
      <c r="CY186" s="491"/>
      <c r="CZ186" s="491"/>
      <c r="DA186" s="491"/>
      <c r="DB186" s="491"/>
      <c r="DC186" s="491"/>
      <c r="DD186" s="491"/>
      <c r="DE186" s="491"/>
      <c r="DF186" s="491"/>
      <c r="DG186" s="491"/>
      <c r="DH186" s="491"/>
      <c r="DI186" s="491"/>
      <c r="DJ186" s="491"/>
      <c r="DK186" s="491"/>
      <c r="DL186" s="491"/>
      <c r="DM186" s="491"/>
      <c r="DN186" s="491"/>
      <c r="DO186" s="491"/>
      <c r="DP186" s="491"/>
      <c r="DQ186" s="491"/>
      <c r="DR186" s="491"/>
      <c r="DS186" s="491"/>
      <c r="DT186" s="491"/>
      <c r="DU186" s="491"/>
      <c r="DV186" s="491"/>
      <c r="DW186" s="491"/>
      <c r="DX186" s="491"/>
      <c r="DY186" s="491"/>
      <c r="DZ186" s="491"/>
      <c r="EA186" s="491"/>
      <c r="EB186" s="491"/>
      <c r="EC186" s="491"/>
      <c r="ED186" s="491"/>
      <c r="EE186" s="491"/>
      <c r="EF186" s="491"/>
      <c r="EG186" s="491"/>
      <c r="EH186" s="491"/>
      <c r="EI186" s="491"/>
      <c r="EJ186" s="491"/>
      <c r="EK186" s="491"/>
      <c r="EL186" s="491"/>
      <c r="EM186" s="491"/>
      <c r="EN186" s="491"/>
      <c r="EO186" s="491"/>
      <c r="EP186" s="491"/>
      <c r="EQ186" s="491"/>
      <c r="ER186" s="491"/>
      <c r="ES186" s="491"/>
      <c r="ET186" s="491"/>
      <c r="EU186" s="491"/>
      <c r="EV186" s="491"/>
      <c r="EW186" s="491"/>
      <c r="EX186" s="491"/>
      <c r="EY186" s="491"/>
      <c r="EZ186" s="491"/>
      <c r="FA186" s="491"/>
      <c r="FB186" s="491"/>
      <c r="FC186" s="491"/>
      <c r="FD186" s="491"/>
      <c r="FE186" s="491"/>
      <c r="FF186" s="491"/>
      <c r="FG186" s="491"/>
      <c r="FH186" s="491"/>
      <c r="FI186" s="491"/>
      <c r="FJ186" s="491"/>
      <c r="FK186" s="491"/>
      <c r="FL186" s="491"/>
      <c r="FM186" s="491"/>
      <c r="FN186" s="491"/>
      <c r="FO186" s="491"/>
      <c r="FP186" s="491"/>
      <c r="FQ186" s="491"/>
      <c r="FR186" s="491"/>
      <c r="FS186" s="491"/>
      <c r="FT186" s="491"/>
      <c r="FU186" s="491"/>
      <c r="FV186" s="491"/>
      <c r="FW186" s="491"/>
      <c r="FX186" s="491"/>
      <c r="FY186" s="491"/>
      <c r="FZ186" s="491"/>
      <c r="GA186" s="491"/>
      <c r="GB186" s="491"/>
      <c r="GC186" s="491"/>
      <c r="GD186" s="491"/>
      <c r="GE186" s="491"/>
      <c r="GF186" s="491"/>
      <c r="GG186" s="491"/>
      <c r="GH186" s="491"/>
      <c r="GI186" s="491"/>
      <c r="GJ186" s="491"/>
      <c r="GK186" s="491"/>
      <c r="GL186" s="491"/>
      <c r="GM186" s="491"/>
      <c r="GN186" s="491"/>
      <c r="GO186" s="491"/>
      <c r="GP186" s="491"/>
      <c r="GQ186" s="491"/>
      <c r="GR186" s="491"/>
      <c r="GS186" s="491"/>
      <c r="GT186" s="491"/>
      <c r="GU186" s="491"/>
      <c r="GV186" s="491"/>
      <c r="GW186" s="491"/>
      <c r="GX186" s="491"/>
      <c r="GY186" s="491"/>
      <c r="GZ186" s="491"/>
      <c r="HA186" s="491"/>
      <c r="HB186" s="491"/>
      <c r="HC186" s="491"/>
      <c r="HD186" s="491"/>
      <c r="HE186" s="491"/>
      <c r="HF186" s="491"/>
      <c r="HG186" s="491"/>
      <c r="HH186" s="491"/>
      <c r="HI186" s="491"/>
      <c r="HJ186" s="491"/>
      <c r="HK186" s="491"/>
      <c r="HL186" s="491"/>
      <c r="HM186" s="491"/>
      <c r="HN186" s="491"/>
      <c r="HO186" s="491"/>
      <c r="HP186" s="491"/>
      <c r="HQ186" s="491"/>
      <c r="HR186" s="491"/>
      <c r="HS186" s="491"/>
      <c r="HT186" s="491"/>
      <c r="HU186" s="491"/>
      <c r="HV186" s="491"/>
      <c r="HW186" s="491"/>
      <c r="HX186" s="491"/>
      <c r="HY186" s="491"/>
      <c r="HZ186" s="491"/>
      <c r="IA186" s="491"/>
      <c r="IB186" s="491"/>
      <c r="IC186" s="491"/>
      <c r="ID186" s="491"/>
      <c r="IE186" s="491"/>
      <c r="IF186" s="491"/>
      <c r="IG186" s="491"/>
      <c r="IH186" s="491"/>
      <c r="II186" s="491"/>
      <c r="IJ186" s="491"/>
      <c r="IK186" s="491"/>
      <c r="IL186" s="491"/>
      <c r="IM186" s="491"/>
      <c r="IN186" s="491"/>
      <c r="IO186" s="491"/>
      <c r="IP186" s="491"/>
      <c r="IQ186" s="491"/>
      <c r="IR186" s="491"/>
      <c r="IS186" s="491"/>
      <c r="IT186" s="491"/>
      <c r="IU186" s="491"/>
    </row>
    <row r="187" s="43" customFormat="1" ht="26" spans="1:255">
      <c r="A187" s="54">
        <v>182</v>
      </c>
      <c r="B187" s="98">
        <v>2743</v>
      </c>
      <c r="C187" s="97" t="s">
        <v>509</v>
      </c>
      <c r="D187" s="97" t="s">
        <v>76</v>
      </c>
      <c r="E187" s="99" t="s">
        <v>2569</v>
      </c>
      <c r="F187" s="190"/>
      <c r="G187" s="99" t="s">
        <v>2594</v>
      </c>
      <c r="H187" s="97" t="s">
        <v>177</v>
      </c>
      <c r="I187" s="102" t="str">
        <f t="shared" si="29"/>
        <v>Arapa, S.Pd</v>
      </c>
      <c r="J187" s="96" t="s">
        <v>127</v>
      </c>
      <c r="K187" s="97" t="s">
        <v>2570</v>
      </c>
      <c r="L187" s="99" t="s">
        <v>905</v>
      </c>
      <c r="M187" s="443">
        <v>32847</v>
      </c>
      <c r="N187" s="444" t="str">
        <f ca="1" t="shared" si="30"/>
        <v>35 Tahun 10 Bulan </v>
      </c>
      <c r="O187" s="445">
        <v>32847</v>
      </c>
      <c r="P187" s="98">
        <f ca="1" t="shared" si="33"/>
        <v>35</v>
      </c>
      <c r="Q187" s="98" t="str">
        <f ca="1" t="shared" si="34"/>
        <v>OKE</v>
      </c>
      <c r="R187" s="635" t="s">
        <v>2595</v>
      </c>
      <c r="S187" s="190"/>
      <c r="T187" s="190"/>
      <c r="U187" s="97" t="s">
        <v>83</v>
      </c>
      <c r="V187" s="97" t="s">
        <v>84</v>
      </c>
      <c r="W187" s="97" t="s">
        <v>112</v>
      </c>
      <c r="X187" s="190" t="s">
        <v>2585</v>
      </c>
      <c r="Y187" s="190"/>
      <c r="Z187" s="190"/>
      <c r="AA187" s="190"/>
      <c r="AB187" s="97" t="s">
        <v>2585</v>
      </c>
      <c r="AC187" s="98">
        <v>77375</v>
      </c>
      <c r="AD187" s="97" t="s">
        <v>1053</v>
      </c>
      <c r="AE187" s="190"/>
      <c r="AF187" s="637" t="s">
        <v>2596</v>
      </c>
      <c r="AG187" s="475"/>
      <c r="AH187" s="190"/>
      <c r="AI187" s="190"/>
      <c r="AJ187" s="97" t="s">
        <v>2576</v>
      </c>
      <c r="AK187" s="477" t="s">
        <v>1056</v>
      </c>
      <c r="AL187" s="155" t="str">
        <f ca="1" t="shared" si="36"/>
        <v>11 Tahun 10 Bulan </v>
      </c>
      <c r="AM187" s="476" t="s">
        <v>1238</v>
      </c>
      <c r="AN187" s="476" t="s">
        <v>93</v>
      </c>
      <c r="AO187" s="97" t="s">
        <v>2597</v>
      </c>
      <c r="AP187" s="97" t="s">
        <v>838</v>
      </c>
      <c r="AQ187" s="97" t="s">
        <v>2598</v>
      </c>
      <c r="AR187" s="190"/>
      <c r="AS187" s="97" t="s">
        <v>941</v>
      </c>
      <c r="AT187" s="190"/>
      <c r="AU187" s="97"/>
      <c r="AV187" s="99" t="s">
        <v>2599</v>
      </c>
      <c r="AW187" s="98" t="s">
        <v>100</v>
      </c>
      <c r="AX187" s="98" t="s">
        <v>101</v>
      </c>
      <c r="AY187" s="99" t="s">
        <v>345</v>
      </c>
      <c r="AZ187" s="190"/>
      <c r="BA187" s="190"/>
      <c r="BB187" s="475" t="s">
        <v>2600</v>
      </c>
      <c r="BC187" s="190" t="s">
        <v>2601</v>
      </c>
      <c r="BD187" s="98">
        <v>16</v>
      </c>
      <c r="BE187" s="98">
        <v>23</v>
      </c>
      <c r="BF187" s="98">
        <v>39</v>
      </c>
      <c r="BG187" s="190"/>
      <c r="BH187" s="96" t="s">
        <v>301</v>
      </c>
      <c r="BI187" s="97" t="s">
        <v>2582</v>
      </c>
      <c r="BJ187" s="99" t="s">
        <v>2594</v>
      </c>
      <c r="BK187" s="638" t="s">
        <v>2602</v>
      </c>
      <c r="BL187" s="499"/>
      <c r="BM187" s="491"/>
      <c r="BN187" s="491"/>
      <c r="BO187" s="491"/>
      <c r="BP187" s="491"/>
      <c r="BQ187" s="491"/>
      <c r="BR187" s="491"/>
      <c r="BS187" s="491"/>
      <c r="BT187" s="491"/>
      <c r="BU187" s="491"/>
      <c r="BV187" s="491"/>
      <c r="BW187" s="491"/>
      <c r="BX187" s="491"/>
      <c r="BY187" s="491"/>
      <c r="BZ187" s="491"/>
      <c r="CA187" s="491"/>
      <c r="CB187" s="491"/>
      <c r="CC187" s="491"/>
      <c r="CD187" s="491"/>
      <c r="CE187" s="491"/>
      <c r="CF187" s="491"/>
      <c r="CG187" s="491"/>
      <c r="CH187" s="491"/>
      <c r="CI187" s="491"/>
      <c r="CJ187" s="491"/>
      <c r="CK187" s="491"/>
      <c r="CL187" s="491"/>
      <c r="CM187" s="491"/>
      <c r="CN187" s="491"/>
      <c r="CO187" s="491"/>
      <c r="CP187" s="491"/>
      <c r="CQ187" s="491"/>
      <c r="CR187" s="491"/>
      <c r="CS187" s="491"/>
      <c r="CT187" s="491"/>
      <c r="CU187" s="491"/>
      <c r="CV187" s="491"/>
      <c r="CW187" s="491"/>
      <c r="CX187" s="491"/>
      <c r="CY187" s="491"/>
      <c r="CZ187" s="491"/>
      <c r="DA187" s="491"/>
      <c r="DB187" s="491"/>
      <c r="DC187" s="491"/>
      <c r="DD187" s="491"/>
      <c r="DE187" s="491"/>
      <c r="DF187" s="491"/>
      <c r="DG187" s="491"/>
      <c r="DH187" s="491"/>
      <c r="DI187" s="491"/>
      <c r="DJ187" s="491"/>
      <c r="DK187" s="491"/>
      <c r="DL187" s="491"/>
      <c r="DM187" s="491"/>
      <c r="DN187" s="491"/>
      <c r="DO187" s="491"/>
      <c r="DP187" s="491"/>
      <c r="DQ187" s="491"/>
      <c r="DR187" s="491"/>
      <c r="DS187" s="491"/>
      <c r="DT187" s="491"/>
      <c r="DU187" s="491"/>
      <c r="DV187" s="491"/>
      <c r="DW187" s="491"/>
      <c r="DX187" s="491"/>
      <c r="DY187" s="491"/>
      <c r="DZ187" s="491"/>
      <c r="EA187" s="491"/>
      <c r="EB187" s="491"/>
      <c r="EC187" s="491"/>
      <c r="ED187" s="491"/>
      <c r="EE187" s="491"/>
      <c r="EF187" s="491"/>
      <c r="EG187" s="491"/>
      <c r="EH187" s="491"/>
      <c r="EI187" s="491"/>
      <c r="EJ187" s="491"/>
      <c r="EK187" s="491"/>
      <c r="EL187" s="491"/>
      <c r="EM187" s="491"/>
      <c r="EN187" s="491"/>
      <c r="EO187" s="491"/>
      <c r="EP187" s="491"/>
      <c r="EQ187" s="491"/>
      <c r="ER187" s="491"/>
      <c r="ES187" s="491"/>
      <c r="ET187" s="491"/>
      <c r="EU187" s="491"/>
      <c r="EV187" s="491"/>
      <c r="EW187" s="491"/>
      <c r="EX187" s="491"/>
      <c r="EY187" s="491"/>
      <c r="EZ187" s="491"/>
      <c r="FA187" s="491"/>
      <c r="FB187" s="491"/>
      <c r="FC187" s="491"/>
      <c r="FD187" s="491"/>
      <c r="FE187" s="491"/>
      <c r="FF187" s="491"/>
      <c r="FG187" s="491"/>
      <c r="FH187" s="491"/>
      <c r="FI187" s="491"/>
      <c r="FJ187" s="491"/>
      <c r="FK187" s="491"/>
      <c r="FL187" s="491"/>
      <c r="FM187" s="491"/>
      <c r="FN187" s="491"/>
      <c r="FO187" s="491"/>
      <c r="FP187" s="491"/>
      <c r="FQ187" s="491"/>
      <c r="FR187" s="491"/>
      <c r="FS187" s="491"/>
      <c r="FT187" s="491"/>
      <c r="FU187" s="491"/>
      <c r="FV187" s="491"/>
      <c r="FW187" s="491"/>
      <c r="FX187" s="491"/>
      <c r="FY187" s="491"/>
      <c r="FZ187" s="491"/>
      <c r="GA187" s="491"/>
      <c r="GB187" s="491"/>
      <c r="GC187" s="491"/>
      <c r="GD187" s="491"/>
      <c r="GE187" s="491"/>
      <c r="GF187" s="491"/>
      <c r="GG187" s="491"/>
      <c r="GH187" s="491"/>
      <c r="GI187" s="491"/>
      <c r="GJ187" s="491"/>
      <c r="GK187" s="491"/>
      <c r="GL187" s="491"/>
      <c r="GM187" s="491"/>
      <c r="GN187" s="491"/>
      <c r="GO187" s="491"/>
      <c r="GP187" s="491"/>
      <c r="GQ187" s="491"/>
      <c r="GR187" s="491"/>
      <c r="GS187" s="491"/>
      <c r="GT187" s="491"/>
      <c r="GU187" s="491"/>
      <c r="GV187" s="491"/>
      <c r="GW187" s="491"/>
      <c r="GX187" s="491"/>
      <c r="GY187" s="491"/>
      <c r="GZ187" s="491"/>
      <c r="HA187" s="491"/>
      <c r="HB187" s="491"/>
      <c r="HC187" s="491"/>
      <c r="HD187" s="491"/>
      <c r="HE187" s="491"/>
      <c r="HF187" s="491"/>
      <c r="HG187" s="491"/>
      <c r="HH187" s="491"/>
      <c r="HI187" s="491"/>
      <c r="HJ187" s="491"/>
      <c r="HK187" s="491"/>
      <c r="HL187" s="491"/>
      <c r="HM187" s="491"/>
      <c r="HN187" s="491"/>
      <c r="HO187" s="491"/>
      <c r="HP187" s="491"/>
      <c r="HQ187" s="491"/>
      <c r="HR187" s="491"/>
      <c r="HS187" s="491"/>
      <c r="HT187" s="491"/>
      <c r="HU187" s="491"/>
      <c r="HV187" s="491"/>
      <c r="HW187" s="491"/>
      <c r="HX187" s="491"/>
      <c r="HY187" s="491"/>
      <c r="HZ187" s="491"/>
      <c r="IA187" s="491"/>
      <c r="IB187" s="491"/>
      <c r="IC187" s="491"/>
      <c r="ID187" s="491"/>
      <c r="IE187" s="491"/>
      <c r="IF187" s="491"/>
      <c r="IG187" s="491"/>
      <c r="IH187" s="491"/>
      <c r="II187" s="491"/>
      <c r="IJ187" s="491"/>
      <c r="IK187" s="491"/>
      <c r="IL187" s="491"/>
      <c r="IM187" s="491"/>
      <c r="IN187" s="491"/>
      <c r="IO187" s="491"/>
      <c r="IP187" s="491"/>
      <c r="IQ187" s="491"/>
      <c r="IR187" s="491"/>
      <c r="IS187" s="491"/>
      <c r="IT187" s="491"/>
      <c r="IU187" s="491"/>
    </row>
    <row r="188" s="43" customFormat="1" spans="1:255">
      <c r="A188" s="54">
        <v>183</v>
      </c>
      <c r="B188" s="98">
        <v>2746</v>
      </c>
      <c r="C188" s="97" t="s">
        <v>509</v>
      </c>
      <c r="D188" s="97" t="s">
        <v>76</v>
      </c>
      <c r="E188" s="99" t="s">
        <v>2569</v>
      </c>
      <c r="F188" s="190"/>
      <c r="G188" s="99" t="s">
        <v>2603</v>
      </c>
      <c r="H188" s="97" t="s">
        <v>177</v>
      </c>
      <c r="I188" s="102" t="str">
        <f t="shared" si="29"/>
        <v>Evi Ali Sandi, S.Pd</v>
      </c>
      <c r="J188" s="96" t="s">
        <v>80</v>
      </c>
      <c r="K188" s="97" t="str">
        <f t="shared" ref="K188:K190" si="37">IF(J188="P","Perempuan",IF(J188="L","Laki-laki"))</f>
        <v>Perempuan</v>
      </c>
      <c r="L188" s="99" t="s">
        <v>75</v>
      </c>
      <c r="M188" s="443">
        <v>33194</v>
      </c>
      <c r="N188" s="444" t="str">
        <f ca="1" t="shared" si="30"/>
        <v>34 Tahun 11 Bulan </v>
      </c>
      <c r="O188" s="445">
        <v>33194</v>
      </c>
      <c r="P188" s="98">
        <f ca="1" t="shared" si="33"/>
        <v>34</v>
      </c>
      <c r="Q188" s="98" t="str">
        <f ca="1" t="shared" si="34"/>
        <v>OKE</v>
      </c>
      <c r="R188" s="635" t="s">
        <v>2604</v>
      </c>
      <c r="S188" s="190"/>
      <c r="T188" s="190"/>
      <c r="U188" s="97" t="s">
        <v>83</v>
      </c>
      <c r="V188" s="97" t="s">
        <v>84</v>
      </c>
      <c r="W188" s="97" t="s">
        <v>112</v>
      </c>
      <c r="X188" s="190" t="s">
        <v>2605</v>
      </c>
      <c r="Y188" s="636" t="s">
        <v>1480</v>
      </c>
      <c r="Z188" s="190"/>
      <c r="AA188" s="190"/>
      <c r="AB188" s="97" t="s">
        <v>2605</v>
      </c>
      <c r="AC188" s="98">
        <v>77372</v>
      </c>
      <c r="AD188" s="97" t="s">
        <v>1881</v>
      </c>
      <c r="AE188" s="190"/>
      <c r="AF188" s="637" t="s">
        <v>2606</v>
      </c>
      <c r="AG188" s="478" t="s">
        <v>2607</v>
      </c>
      <c r="AH188" s="190"/>
      <c r="AI188" s="190"/>
      <c r="AJ188" s="97" t="s">
        <v>2576</v>
      </c>
      <c r="AK188" s="477" t="s">
        <v>1056</v>
      </c>
      <c r="AL188" s="155" t="str">
        <f ca="1" t="shared" si="36"/>
        <v>11 Tahun 10 Bulan </v>
      </c>
      <c r="AM188" s="476" t="s">
        <v>1238</v>
      </c>
      <c r="AN188" s="476" t="s">
        <v>93</v>
      </c>
      <c r="AO188" s="97" t="s">
        <v>2608</v>
      </c>
      <c r="AP188" s="97" t="s">
        <v>1659</v>
      </c>
      <c r="AQ188" s="97"/>
      <c r="AR188" s="190"/>
      <c r="AS188" s="97"/>
      <c r="AT188" s="190"/>
      <c r="AU188" s="97"/>
      <c r="AV188" s="99" t="s">
        <v>2609</v>
      </c>
      <c r="AW188" s="98" t="s">
        <v>100</v>
      </c>
      <c r="AX188" s="98" t="s">
        <v>101</v>
      </c>
      <c r="AY188" s="99" t="s">
        <v>2610</v>
      </c>
      <c r="AZ188" s="190"/>
      <c r="BA188" s="190"/>
      <c r="BB188" s="475" t="s">
        <v>2611</v>
      </c>
      <c r="BC188" s="190" t="s">
        <v>2612</v>
      </c>
      <c r="BD188" s="98">
        <v>4</v>
      </c>
      <c r="BE188" s="98">
        <v>28</v>
      </c>
      <c r="BF188" s="98">
        <v>32</v>
      </c>
      <c r="BG188" s="190"/>
      <c r="BH188" s="96" t="s">
        <v>301</v>
      </c>
      <c r="BI188" s="97" t="s">
        <v>2582</v>
      </c>
      <c r="BJ188" s="99" t="s">
        <v>2603</v>
      </c>
      <c r="BK188" s="638" t="s">
        <v>2613</v>
      </c>
      <c r="BL188" s="499"/>
      <c r="BM188" s="491"/>
      <c r="BN188" s="491"/>
      <c r="BO188" s="491"/>
      <c r="BP188" s="491"/>
      <c r="BQ188" s="491"/>
      <c r="BR188" s="491"/>
      <c r="BS188" s="491"/>
      <c r="BT188" s="491"/>
      <c r="BU188" s="491"/>
      <c r="BV188" s="491"/>
      <c r="BW188" s="491"/>
      <c r="BX188" s="491"/>
      <c r="BY188" s="491"/>
      <c r="BZ188" s="491"/>
      <c r="CA188" s="491"/>
      <c r="CB188" s="491"/>
      <c r="CC188" s="491"/>
      <c r="CD188" s="491"/>
      <c r="CE188" s="491"/>
      <c r="CF188" s="491"/>
      <c r="CG188" s="491"/>
      <c r="CH188" s="491"/>
      <c r="CI188" s="491"/>
      <c r="CJ188" s="491"/>
      <c r="CK188" s="491"/>
      <c r="CL188" s="491"/>
      <c r="CM188" s="491"/>
      <c r="CN188" s="491"/>
      <c r="CO188" s="491"/>
      <c r="CP188" s="491"/>
      <c r="CQ188" s="491"/>
      <c r="CR188" s="491"/>
      <c r="CS188" s="491"/>
      <c r="CT188" s="491"/>
      <c r="CU188" s="491"/>
      <c r="CV188" s="491"/>
      <c r="CW188" s="491"/>
      <c r="CX188" s="491"/>
      <c r="CY188" s="491"/>
      <c r="CZ188" s="491"/>
      <c r="DA188" s="491"/>
      <c r="DB188" s="491"/>
      <c r="DC188" s="491"/>
      <c r="DD188" s="491"/>
      <c r="DE188" s="491"/>
      <c r="DF188" s="491"/>
      <c r="DG188" s="491"/>
      <c r="DH188" s="491"/>
      <c r="DI188" s="491"/>
      <c r="DJ188" s="491"/>
      <c r="DK188" s="491"/>
      <c r="DL188" s="491"/>
      <c r="DM188" s="491"/>
      <c r="DN188" s="491"/>
      <c r="DO188" s="491"/>
      <c r="DP188" s="491"/>
      <c r="DQ188" s="491"/>
      <c r="DR188" s="491"/>
      <c r="DS188" s="491"/>
      <c r="DT188" s="491"/>
      <c r="DU188" s="491"/>
      <c r="DV188" s="491"/>
      <c r="DW188" s="491"/>
      <c r="DX188" s="491"/>
      <c r="DY188" s="491"/>
      <c r="DZ188" s="491"/>
      <c r="EA188" s="491"/>
      <c r="EB188" s="491"/>
      <c r="EC188" s="491"/>
      <c r="ED188" s="491"/>
      <c r="EE188" s="491"/>
      <c r="EF188" s="491"/>
      <c r="EG188" s="491"/>
      <c r="EH188" s="491"/>
      <c r="EI188" s="491"/>
      <c r="EJ188" s="491"/>
      <c r="EK188" s="491"/>
      <c r="EL188" s="491"/>
      <c r="EM188" s="491"/>
      <c r="EN188" s="491"/>
      <c r="EO188" s="491"/>
      <c r="EP188" s="491"/>
      <c r="EQ188" s="491"/>
      <c r="ER188" s="491"/>
      <c r="ES188" s="491"/>
      <c r="ET188" s="491"/>
      <c r="EU188" s="491"/>
      <c r="EV188" s="491"/>
      <c r="EW188" s="491"/>
      <c r="EX188" s="491"/>
      <c r="EY188" s="491"/>
      <c r="EZ188" s="491"/>
      <c r="FA188" s="491"/>
      <c r="FB188" s="491"/>
      <c r="FC188" s="491"/>
      <c r="FD188" s="491"/>
      <c r="FE188" s="491"/>
      <c r="FF188" s="491"/>
      <c r="FG188" s="491"/>
      <c r="FH188" s="491"/>
      <c r="FI188" s="491"/>
      <c r="FJ188" s="491"/>
      <c r="FK188" s="491"/>
      <c r="FL188" s="491"/>
      <c r="FM188" s="491"/>
      <c r="FN188" s="491"/>
      <c r="FO188" s="491"/>
      <c r="FP188" s="491"/>
      <c r="FQ188" s="491"/>
      <c r="FR188" s="491"/>
      <c r="FS188" s="491"/>
      <c r="FT188" s="491"/>
      <c r="FU188" s="491"/>
      <c r="FV188" s="491"/>
      <c r="FW188" s="491"/>
      <c r="FX188" s="491"/>
      <c r="FY188" s="491"/>
      <c r="FZ188" s="491"/>
      <c r="GA188" s="491"/>
      <c r="GB188" s="491"/>
      <c r="GC188" s="491"/>
      <c r="GD188" s="491"/>
      <c r="GE188" s="491"/>
      <c r="GF188" s="491"/>
      <c r="GG188" s="491"/>
      <c r="GH188" s="491"/>
      <c r="GI188" s="491"/>
      <c r="GJ188" s="491"/>
      <c r="GK188" s="491"/>
      <c r="GL188" s="491"/>
      <c r="GM188" s="491"/>
      <c r="GN188" s="491"/>
      <c r="GO188" s="491"/>
      <c r="GP188" s="491"/>
      <c r="GQ188" s="491"/>
      <c r="GR188" s="491"/>
      <c r="GS188" s="491"/>
      <c r="GT188" s="491"/>
      <c r="GU188" s="491"/>
      <c r="GV188" s="491"/>
      <c r="GW188" s="491"/>
      <c r="GX188" s="491"/>
      <c r="GY188" s="491"/>
      <c r="GZ188" s="491"/>
      <c r="HA188" s="491"/>
      <c r="HB188" s="491"/>
      <c r="HC188" s="491"/>
      <c r="HD188" s="491"/>
      <c r="HE188" s="491"/>
      <c r="HF188" s="491"/>
      <c r="HG188" s="491"/>
      <c r="HH188" s="491"/>
      <c r="HI188" s="491"/>
      <c r="HJ188" s="491"/>
      <c r="HK188" s="491"/>
      <c r="HL188" s="491"/>
      <c r="HM188" s="491"/>
      <c r="HN188" s="491"/>
      <c r="HO188" s="491"/>
      <c r="HP188" s="491"/>
      <c r="HQ188" s="491"/>
      <c r="HR188" s="491"/>
      <c r="HS188" s="491"/>
      <c r="HT188" s="491"/>
      <c r="HU188" s="491"/>
      <c r="HV188" s="491"/>
      <c r="HW188" s="491"/>
      <c r="HX188" s="491"/>
      <c r="HY188" s="491"/>
      <c r="HZ188" s="491"/>
      <c r="IA188" s="491"/>
      <c r="IB188" s="491"/>
      <c r="IC188" s="491"/>
      <c r="ID188" s="491"/>
      <c r="IE188" s="491"/>
      <c r="IF188" s="491"/>
      <c r="IG188" s="491"/>
      <c r="IH188" s="491"/>
      <c r="II188" s="491"/>
      <c r="IJ188" s="491"/>
      <c r="IK188" s="491"/>
      <c r="IL188" s="491"/>
      <c r="IM188" s="491"/>
      <c r="IN188" s="491"/>
      <c r="IO188" s="491"/>
      <c r="IP188" s="491"/>
      <c r="IQ188" s="491"/>
      <c r="IR188" s="491"/>
      <c r="IS188" s="491"/>
      <c r="IT188" s="491"/>
      <c r="IU188" s="491"/>
    </row>
    <row r="189" s="43" customFormat="1" spans="1:255">
      <c r="A189" s="54">
        <v>184</v>
      </c>
      <c r="B189" s="98">
        <v>2747</v>
      </c>
      <c r="C189" s="97" t="s">
        <v>509</v>
      </c>
      <c r="D189" s="97" t="s">
        <v>76</v>
      </c>
      <c r="E189" s="99" t="s">
        <v>2569</v>
      </c>
      <c r="F189" s="190"/>
      <c r="G189" s="99" t="s">
        <v>2614</v>
      </c>
      <c r="H189" s="97" t="s">
        <v>177</v>
      </c>
      <c r="I189" s="102" t="str">
        <f t="shared" si="29"/>
        <v>Falmadianti, S.Pd</v>
      </c>
      <c r="J189" s="96" t="s">
        <v>80</v>
      </c>
      <c r="K189" s="97" t="str">
        <f t="shared" si="37"/>
        <v>Perempuan</v>
      </c>
      <c r="L189" s="99" t="s">
        <v>1151</v>
      </c>
      <c r="M189" s="443">
        <v>30813</v>
      </c>
      <c r="N189" s="444" t="str">
        <f ca="1" t="shared" si="30"/>
        <v>41 Tahun 5 Bulan </v>
      </c>
      <c r="O189" s="445">
        <v>30813</v>
      </c>
      <c r="P189" s="98">
        <f ca="1" t="shared" si="33"/>
        <v>41</v>
      </c>
      <c r="Q189" s="98" t="str">
        <f ca="1" t="shared" si="34"/>
        <v>OKE</v>
      </c>
      <c r="R189" s="635" t="s">
        <v>2615</v>
      </c>
      <c r="S189" s="190"/>
      <c r="T189" s="637" t="s">
        <v>2616</v>
      </c>
      <c r="U189" s="97" t="s">
        <v>83</v>
      </c>
      <c r="V189" s="97" t="s">
        <v>84</v>
      </c>
      <c r="W189" s="97" t="s">
        <v>112</v>
      </c>
      <c r="X189" s="190" t="s">
        <v>2617</v>
      </c>
      <c r="Y189" s="636" t="s">
        <v>2618</v>
      </c>
      <c r="Z189" s="190"/>
      <c r="AA189" s="190"/>
      <c r="AB189" s="97" t="s">
        <v>1060</v>
      </c>
      <c r="AC189" s="98">
        <v>77375</v>
      </c>
      <c r="AD189" s="97" t="s">
        <v>1060</v>
      </c>
      <c r="AE189" s="190"/>
      <c r="AF189" s="637" t="s">
        <v>2619</v>
      </c>
      <c r="AG189" s="478" t="s">
        <v>2620</v>
      </c>
      <c r="AH189" s="190"/>
      <c r="AI189" s="190"/>
      <c r="AJ189" s="97" t="s">
        <v>2576</v>
      </c>
      <c r="AK189" s="477" t="s">
        <v>1056</v>
      </c>
      <c r="AL189" s="155" t="str">
        <f ca="1" t="shared" si="36"/>
        <v>11 Tahun 10 Bulan </v>
      </c>
      <c r="AM189" s="476" t="s">
        <v>1238</v>
      </c>
      <c r="AN189" s="476" t="s">
        <v>93</v>
      </c>
      <c r="AO189" s="97" t="s">
        <v>2621</v>
      </c>
      <c r="AP189" s="97" t="s">
        <v>838</v>
      </c>
      <c r="AQ189" s="97" t="s">
        <v>2622</v>
      </c>
      <c r="AR189" s="636" t="s">
        <v>2623</v>
      </c>
      <c r="AS189" s="97" t="s">
        <v>98</v>
      </c>
      <c r="AT189" s="190"/>
      <c r="AU189" s="97"/>
      <c r="AV189" s="99" t="s">
        <v>2624</v>
      </c>
      <c r="AW189" s="98" t="s">
        <v>100</v>
      </c>
      <c r="AX189" s="98" t="s">
        <v>101</v>
      </c>
      <c r="AY189" s="99" t="s">
        <v>917</v>
      </c>
      <c r="AZ189" s="190"/>
      <c r="BA189" s="190"/>
      <c r="BB189" s="475" t="s">
        <v>346</v>
      </c>
      <c r="BC189" s="190" t="s">
        <v>563</v>
      </c>
      <c r="BD189" s="98">
        <v>2</v>
      </c>
      <c r="BE189" s="98">
        <v>22</v>
      </c>
      <c r="BF189" s="98">
        <v>24</v>
      </c>
      <c r="BG189" s="190"/>
      <c r="BH189" s="96" t="s">
        <v>301</v>
      </c>
      <c r="BI189" s="97" t="s">
        <v>2582</v>
      </c>
      <c r="BJ189" s="99" t="s">
        <v>2614</v>
      </c>
      <c r="BK189" s="638" t="s">
        <v>2625</v>
      </c>
      <c r="BL189" s="499"/>
      <c r="BM189" s="491"/>
      <c r="BN189" s="491"/>
      <c r="BO189" s="491"/>
      <c r="BP189" s="491"/>
      <c r="BQ189" s="491"/>
      <c r="BR189" s="491"/>
      <c r="BS189" s="491"/>
      <c r="BT189" s="491"/>
      <c r="BU189" s="491"/>
      <c r="BV189" s="491"/>
      <c r="BW189" s="491"/>
      <c r="BX189" s="491"/>
      <c r="BY189" s="491"/>
      <c r="BZ189" s="491"/>
      <c r="CA189" s="491"/>
      <c r="CB189" s="491"/>
      <c r="CC189" s="491"/>
      <c r="CD189" s="491"/>
      <c r="CE189" s="491"/>
      <c r="CF189" s="491"/>
      <c r="CG189" s="491"/>
      <c r="CH189" s="491"/>
      <c r="CI189" s="491"/>
      <c r="CJ189" s="491"/>
      <c r="CK189" s="491"/>
      <c r="CL189" s="491"/>
      <c r="CM189" s="491"/>
      <c r="CN189" s="491"/>
      <c r="CO189" s="491"/>
      <c r="CP189" s="491"/>
      <c r="CQ189" s="491"/>
      <c r="CR189" s="491"/>
      <c r="CS189" s="491"/>
      <c r="CT189" s="491"/>
      <c r="CU189" s="491"/>
      <c r="CV189" s="491"/>
      <c r="CW189" s="491"/>
      <c r="CX189" s="491"/>
      <c r="CY189" s="491"/>
      <c r="CZ189" s="491"/>
      <c r="DA189" s="491"/>
      <c r="DB189" s="491"/>
      <c r="DC189" s="491"/>
      <c r="DD189" s="491"/>
      <c r="DE189" s="491"/>
      <c r="DF189" s="491"/>
      <c r="DG189" s="491"/>
      <c r="DH189" s="491"/>
      <c r="DI189" s="491"/>
      <c r="DJ189" s="491"/>
      <c r="DK189" s="491"/>
      <c r="DL189" s="491"/>
      <c r="DM189" s="491"/>
      <c r="DN189" s="491"/>
      <c r="DO189" s="491"/>
      <c r="DP189" s="491"/>
      <c r="DQ189" s="491"/>
      <c r="DR189" s="491"/>
      <c r="DS189" s="491"/>
      <c r="DT189" s="491"/>
      <c r="DU189" s="491"/>
      <c r="DV189" s="491"/>
      <c r="DW189" s="491"/>
      <c r="DX189" s="491"/>
      <c r="DY189" s="491"/>
      <c r="DZ189" s="491"/>
      <c r="EA189" s="491"/>
      <c r="EB189" s="491"/>
      <c r="EC189" s="491"/>
      <c r="ED189" s="491"/>
      <c r="EE189" s="491"/>
      <c r="EF189" s="491"/>
      <c r="EG189" s="491"/>
      <c r="EH189" s="491"/>
      <c r="EI189" s="491"/>
      <c r="EJ189" s="491"/>
      <c r="EK189" s="491"/>
      <c r="EL189" s="491"/>
      <c r="EM189" s="491"/>
      <c r="EN189" s="491"/>
      <c r="EO189" s="491"/>
      <c r="EP189" s="491"/>
      <c r="EQ189" s="491"/>
      <c r="ER189" s="491"/>
      <c r="ES189" s="491"/>
      <c r="ET189" s="491"/>
      <c r="EU189" s="491"/>
      <c r="EV189" s="491"/>
      <c r="EW189" s="491"/>
      <c r="EX189" s="491"/>
      <c r="EY189" s="491"/>
      <c r="EZ189" s="491"/>
      <c r="FA189" s="491"/>
      <c r="FB189" s="491"/>
      <c r="FC189" s="491"/>
      <c r="FD189" s="491"/>
      <c r="FE189" s="491"/>
      <c r="FF189" s="491"/>
      <c r="FG189" s="491"/>
      <c r="FH189" s="491"/>
      <c r="FI189" s="491"/>
      <c r="FJ189" s="491"/>
      <c r="FK189" s="491"/>
      <c r="FL189" s="491"/>
      <c r="FM189" s="491"/>
      <c r="FN189" s="491"/>
      <c r="FO189" s="491"/>
      <c r="FP189" s="491"/>
      <c r="FQ189" s="491"/>
      <c r="FR189" s="491"/>
      <c r="FS189" s="491"/>
      <c r="FT189" s="491"/>
      <c r="FU189" s="491"/>
      <c r="FV189" s="491"/>
      <c r="FW189" s="491"/>
      <c r="FX189" s="491"/>
      <c r="FY189" s="491"/>
      <c r="FZ189" s="491"/>
      <c r="GA189" s="491"/>
      <c r="GB189" s="491"/>
      <c r="GC189" s="491"/>
      <c r="GD189" s="491"/>
      <c r="GE189" s="491"/>
      <c r="GF189" s="491"/>
      <c r="GG189" s="491"/>
      <c r="GH189" s="491"/>
      <c r="GI189" s="491"/>
      <c r="GJ189" s="491"/>
      <c r="GK189" s="491"/>
      <c r="GL189" s="491"/>
      <c r="GM189" s="491"/>
      <c r="GN189" s="491"/>
      <c r="GO189" s="491"/>
      <c r="GP189" s="491"/>
      <c r="GQ189" s="491"/>
      <c r="GR189" s="491"/>
      <c r="GS189" s="491"/>
      <c r="GT189" s="491"/>
      <c r="GU189" s="491"/>
      <c r="GV189" s="491"/>
      <c r="GW189" s="491"/>
      <c r="GX189" s="491"/>
      <c r="GY189" s="491"/>
      <c r="GZ189" s="491"/>
      <c r="HA189" s="491"/>
      <c r="HB189" s="491"/>
      <c r="HC189" s="491"/>
      <c r="HD189" s="491"/>
      <c r="HE189" s="491"/>
      <c r="HF189" s="491"/>
      <c r="HG189" s="491"/>
      <c r="HH189" s="491"/>
      <c r="HI189" s="491"/>
      <c r="HJ189" s="491"/>
      <c r="HK189" s="491"/>
      <c r="HL189" s="491"/>
      <c r="HM189" s="491"/>
      <c r="HN189" s="491"/>
      <c r="HO189" s="491"/>
      <c r="HP189" s="491"/>
      <c r="HQ189" s="491"/>
      <c r="HR189" s="491"/>
      <c r="HS189" s="491"/>
      <c r="HT189" s="491"/>
      <c r="HU189" s="491"/>
      <c r="HV189" s="491"/>
      <c r="HW189" s="491"/>
      <c r="HX189" s="491"/>
      <c r="HY189" s="491"/>
      <c r="HZ189" s="491"/>
      <c r="IA189" s="491"/>
      <c r="IB189" s="491"/>
      <c r="IC189" s="491"/>
      <c r="ID189" s="491"/>
      <c r="IE189" s="491"/>
      <c r="IF189" s="491"/>
      <c r="IG189" s="491"/>
      <c r="IH189" s="491"/>
      <c r="II189" s="491"/>
      <c r="IJ189" s="491"/>
      <c r="IK189" s="491"/>
      <c r="IL189" s="491"/>
      <c r="IM189" s="491"/>
      <c r="IN189" s="491"/>
      <c r="IO189" s="491"/>
      <c r="IP189" s="491"/>
      <c r="IQ189" s="491"/>
      <c r="IR189" s="491"/>
      <c r="IS189" s="491"/>
      <c r="IT189" s="491"/>
      <c r="IU189" s="491"/>
    </row>
    <row r="190" s="43" customFormat="1" spans="1:255">
      <c r="A190" s="54">
        <v>185</v>
      </c>
      <c r="B190" s="98">
        <v>2748</v>
      </c>
      <c r="C190" s="97" t="s">
        <v>509</v>
      </c>
      <c r="D190" s="97" t="s">
        <v>76</v>
      </c>
      <c r="E190" s="99" t="s">
        <v>2569</v>
      </c>
      <c r="F190" s="190"/>
      <c r="G190" s="99" t="s">
        <v>2059</v>
      </c>
      <c r="H190" s="97" t="s">
        <v>177</v>
      </c>
      <c r="I190" s="102" t="str">
        <f t="shared" si="29"/>
        <v>Irmayanti, S.Pd</v>
      </c>
      <c r="J190" s="96" t="s">
        <v>80</v>
      </c>
      <c r="K190" s="97" t="str">
        <f t="shared" si="37"/>
        <v>Perempuan</v>
      </c>
      <c r="L190" s="99" t="s">
        <v>2626</v>
      </c>
      <c r="M190" s="443">
        <v>31983</v>
      </c>
      <c r="N190" s="444" t="str">
        <f ca="1" t="shared" si="30"/>
        <v>38 Tahun 3 Bulan </v>
      </c>
      <c r="O190" s="445">
        <v>31983</v>
      </c>
      <c r="P190" s="98">
        <f ca="1" t="shared" si="33"/>
        <v>38</v>
      </c>
      <c r="Q190" s="98" t="str">
        <f ca="1" t="shared" si="34"/>
        <v>OKE</v>
      </c>
      <c r="R190" s="635" t="s">
        <v>2627</v>
      </c>
      <c r="S190" s="190"/>
      <c r="T190" s="190"/>
      <c r="U190" s="97" t="s">
        <v>83</v>
      </c>
      <c r="V190" s="97" t="s">
        <v>84</v>
      </c>
      <c r="W190" s="97" t="s">
        <v>112</v>
      </c>
      <c r="X190" s="190" t="s">
        <v>1052</v>
      </c>
      <c r="Y190" s="190"/>
      <c r="Z190" s="190"/>
      <c r="AA190" s="190"/>
      <c r="AB190" s="97" t="s">
        <v>1052</v>
      </c>
      <c r="AC190" s="98">
        <v>77375</v>
      </c>
      <c r="AD190" s="97" t="s">
        <v>1053</v>
      </c>
      <c r="AE190" s="190"/>
      <c r="AF190" s="98"/>
      <c r="AG190" s="475"/>
      <c r="AH190" s="190"/>
      <c r="AI190" s="190"/>
      <c r="AJ190" s="97" t="s">
        <v>2576</v>
      </c>
      <c r="AK190" s="477" t="s">
        <v>1056</v>
      </c>
      <c r="AL190" s="155" t="str">
        <f ca="1" t="shared" si="36"/>
        <v>11 Tahun 10 Bulan </v>
      </c>
      <c r="AM190" s="476" t="s">
        <v>1238</v>
      </c>
      <c r="AN190" s="476" t="s">
        <v>93</v>
      </c>
      <c r="AO190" s="97" t="s">
        <v>2628</v>
      </c>
      <c r="AP190" s="97" t="s">
        <v>1659</v>
      </c>
      <c r="AQ190" s="97"/>
      <c r="AR190" s="190"/>
      <c r="AS190" s="97"/>
      <c r="AT190" s="190"/>
      <c r="AU190" s="97"/>
      <c r="AV190" s="99" t="s">
        <v>2629</v>
      </c>
      <c r="AW190" s="98" t="s">
        <v>100</v>
      </c>
      <c r="AX190" s="98" t="s">
        <v>101</v>
      </c>
      <c r="AY190" s="99" t="s">
        <v>1007</v>
      </c>
      <c r="AZ190" s="190"/>
      <c r="BA190" s="190"/>
      <c r="BB190" s="475" t="s">
        <v>346</v>
      </c>
      <c r="BC190" s="190" t="s">
        <v>686</v>
      </c>
      <c r="BD190" s="98">
        <v>2</v>
      </c>
      <c r="BE190" s="98">
        <v>25</v>
      </c>
      <c r="BF190" s="98">
        <v>27</v>
      </c>
      <c r="BG190" s="190"/>
      <c r="BH190" s="96" t="s">
        <v>301</v>
      </c>
      <c r="BI190" s="97" t="s">
        <v>2582</v>
      </c>
      <c r="BJ190" s="99" t="s">
        <v>2059</v>
      </c>
      <c r="BK190" s="638" t="s">
        <v>2630</v>
      </c>
      <c r="BL190" s="499"/>
      <c r="BM190" s="491"/>
      <c r="BN190" s="491"/>
      <c r="BO190" s="491"/>
      <c r="BP190" s="491"/>
      <c r="BQ190" s="491"/>
      <c r="BR190" s="491"/>
      <c r="BS190" s="491"/>
      <c r="BT190" s="491"/>
      <c r="BU190" s="491"/>
      <c r="BV190" s="491"/>
      <c r="BW190" s="491"/>
      <c r="BX190" s="491"/>
      <c r="BY190" s="491"/>
      <c r="BZ190" s="491"/>
      <c r="CA190" s="491"/>
      <c r="CB190" s="491"/>
      <c r="CC190" s="491"/>
      <c r="CD190" s="491"/>
      <c r="CE190" s="491"/>
      <c r="CF190" s="491"/>
      <c r="CG190" s="491"/>
      <c r="CH190" s="491"/>
      <c r="CI190" s="491"/>
      <c r="CJ190" s="491"/>
      <c r="CK190" s="491"/>
      <c r="CL190" s="491"/>
      <c r="CM190" s="491"/>
      <c r="CN190" s="491"/>
      <c r="CO190" s="491"/>
      <c r="CP190" s="491"/>
      <c r="CQ190" s="491"/>
      <c r="CR190" s="491"/>
      <c r="CS190" s="491"/>
      <c r="CT190" s="491"/>
      <c r="CU190" s="491"/>
      <c r="CV190" s="491"/>
      <c r="CW190" s="491"/>
      <c r="CX190" s="491"/>
      <c r="CY190" s="491"/>
      <c r="CZ190" s="491"/>
      <c r="DA190" s="491"/>
      <c r="DB190" s="491"/>
      <c r="DC190" s="491"/>
      <c r="DD190" s="491"/>
      <c r="DE190" s="491"/>
      <c r="DF190" s="491"/>
      <c r="DG190" s="491"/>
      <c r="DH190" s="491"/>
      <c r="DI190" s="491"/>
      <c r="DJ190" s="491"/>
      <c r="DK190" s="491"/>
      <c r="DL190" s="491"/>
      <c r="DM190" s="491"/>
      <c r="DN190" s="491"/>
      <c r="DO190" s="491"/>
      <c r="DP190" s="491"/>
      <c r="DQ190" s="491"/>
      <c r="DR190" s="491"/>
      <c r="DS190" s="491"/>
      <c r="DT190" s="491"/>
      <c r="DU190" s="491"/>
      <c r="DV190" s="491"/>
      <c r="DW190" s="491"/>
      <c r="DX190" s="491"/>
      <c r="DY190" s="491"/>
      <c r="DZ190" s="491"/>
      <c r="EA190" s="491"/>
      <c r="EB190" s="491"/>
      <c r="EC190" s="491"/>
      <c r="ED190" s="491"/>
      <c r="EE190" s="491"/>
      <c r="EF190" s="491"/>
      <c r="EG190" s="491"/>
      <c r="EH190" s="491"/>
      <c r="EI190" s="491"/>
      <c r="EJ190" s="491"/>
      <c r="EK190" s="491"/>
      <c r="EL190" s="491"/>
      <c r="EM190" s="491"/>
      <c r="EN190" s="491"/>
      <c r="EO190" s="491"/>
      <c r="EP190" s="491"/>
      <c r="EQ190" s="491"/>
      <c r="ER190" s="491"/>
      <c r="ES190" s="491"/>
      <c r="ET190" s="491"/>
      <c r="EU190" s="491"/>
      <c r="EV190" s="491"/>
      <c r="EW190" s="491"/>
      <c r="EX190" s="491"/>
      <c r="EY190" s="491"/>
      <c r="EZ190" s="491"/>
      <c r="FA190" s="491"/>
      <c r="FB190" s="491"/>
      <c r="FC190" s="491"/>
      <c r="FD190" s="491"/>
      <c r="FE190" s="491"/>
      <c r="FF190" s="491"/>
      <c r="FG190" s="491"/>
      <c r="FH190" s="491"/>
      <c r="FI190" s="491"/>
      <c r="FJ190" s="491"/>
      <c r="FK190" s="491"/>
      <c r="FL190" s="491"/>
      <c r="FM190" s="491"/>
      <c r="FN190" s="491"/>
      <c r="FO190" s="491"/>
      <c r="FP190" s="491"/>
      <c r="FQ190" s="491"/>
      <c r="FR190" s="491"/>
      <c r="FS190" s="491"/>
      <c r="FT190" s="491"/>
      <c r="FU190" s="491"/>
      <c r="FV190" s="491"/>
      <c r="FW190" s="491"/>
      <c r="FX190" s="491"/>
      <c r="FY190" s="491"/>
      <c r="FZ190" s="491"/>
      <c r="GA190" s="491"/>
      <c r="GB190" s="491"/>
      <c r="GC190" s="491"/>
      <c r="GD190" s="491"/>
      <c r="GE190" s="491"/>
      <c r="GF190" s="491"/>
      <c r="GG190" s="491"/>
      <c r="GH190" s="491"/>
      <c r="GI190" s="491"/>
      <c r="GJ190" s="491"/>
      <c r="GK190" s="491"/>
      <c r="GL190" s="491"/>
      <c r="GM190" s="491"/>
      <c r="GN190" s="491"/>
      <c r="GO190" s="491"/>
      <c r="GP190" s="491"/>
      <c r="GQ190" s="491"/>
      <c r="GR190" s="491"/>
      <c r="GS190" s="491"/>
      <c r="GT190" s="491"/>
      <c r="GU190" s="491"/>
      <c r="GV190" s="491"/>
      <c r="GW190" s="491"/>
      <c r="GX190" s="491"/>
      <c r="GY190" s="491"/>
      <c r="GZ190" s="491"/>
      <c r="HA190" s="491"/>
      <c r="HB190" s="491"/>
      <c r="HC190" s="491"/>
      <c r="HD190" s="491"/>
      <c r="HE190" s="491"/>
      <c r="HF190" s="491"/>
      <c r="HG190" s="491"/>
      <c r="HH190" s="491"/>
      <c r="HI190" s="491"/>
      <c r="HJ190" s="491"/>
      <c r="HK190" s="491"/>
      <c r="HL190" s="491"/>
      <c r="HM190" s="491"/>
      <c r="HN190" s="491"/>
      <c r="HO190" s="491"/>
      <c r="HP190" s="491"/>
      <c r="HQ190" s="491"/>
      <c r="HR190" s="491"/>
      <c r="HS190" s="491"/>
      <c r="HT190" s="491"/>
      <c r="HU190" s="491"/>
      <c r="HV190" s="491"/>
      <c r="HW190" s="491"/>
      <c r="HX190" s="491"/>
      <c r="HY190" s="491"/>
      <c r="HZ190" s="491"/>
      <c r="IA190" s="491"/>
      <c r="IB190" s="491"/>
      <c r="IC190" s="491"/>
      <c r="ID190" s="491"/>
      <c r="IE190" s="491"/>
      <c r="IF190" s="491"/>
      <c r="IG190" s="491"/>
      <c r="IH190" s="491"/>
      <c r="II190" s="491"/>
      <c r="IJ190" s="491"/>
      <c r="IK190" s="491"/>
      <c r="IL190" s="491"/>
      <c r="IM190" s="491"/>
      <c r="IN190" s="491"/>
      <c r="IO190" s="491"/>
      <c r="IP190" s="491"/>
      <c r="IQ190" s="491"/>
      <c r="IR190" s="491"/>
      <c r="IS190" s="491"/>
      <c r="IT190" s="491"/>
      <c r="IU190" s="491"/>
    </row>
    <row r="191" s="43" customFormat="1" spans="1:255">
      <c r="A191" s="54">
        <v>186</v>
      </c>
      <c r="B191" s="98">
        <v>2749</v>
      </c>
      <c r="C191" s="97" t="s">
        <v>509</v>
      </c>
      <c r="D191" s="97" t="s">
        <v>76</v>
      </c>
      <c r="E191" s="99" t="s">
        <v>2569</v>
      </c>
      <c r="F191" s="190"/>
      <c r="G191" s="99" t="s">
        <v>2631</v>
      </c>
      <c r="H191" s="97" t="s">
        <v>419</v>
      </c>
      <c r="I191" s="102" t="str">
        <f t="shared" si="29"/>
        <v>Joni Hermanto, S.Pd.K</v>
      </c>
      <c r="J191" s="96" t="s">
        <v>127</v>
      </c>
      <c r="K191" s="97" t="s">
        <v>2570</v>
      </c>
      <c r="L191" s="99" t="s">
        <v>2632</v>
      </c>
      <c r="M191" s="443">
        <v>32299</v>
      </c>
      <c r="N191" s="444" t="str">
        <f ca="1" t="shared" si="30"/>
        <v>37 Tahun 4 Bulan </v>
      </c>
      <c r="O191" s="445">
        <v>32299</v>
      </c>
      <c r="P191" s="98">
        <f ca="1" t="shared" si="33"/>
        <v>37</v>
      </c>
      <c r="Q191" s="98" t="str">
        <f ca="1" t="shared" si="34"/>
        <v>OKE</v>
      </c>
      <c r="R191" s="635" t="s">
        <v>2633</v>
      </c>
      <c r="S191" s="190"/>
      <c r="T191" s="190"/>
      <c r="U191" s="97" t="s">
        <v>83</v>
      </c>
      <c r="V191" s="97" t="s">
        <v>84</v>
      </c>
      <c r="W191" s="97" t="s">
        <v>2634</v>
      </c>
      <c r="X191" s="190" t="s">
        <v>2635</v>
      </c>
      <c r="Y191" s="190"/>
      <c r="Z191" s="190"/>
      <c r="AA191" s="190"/>
      <c r="AB191" s="97" t="s">
        <v>2635</v>
      </c>
      <c r="AC191" s="98">
        <v>77375</v>
      </c>
      <c r="AD191" s="97" t="s">
        <v>1053</v>
      </c>
      <c r="AE191" s="190"/>
      <c r="AF191" s="98"/>
      <c r="AG191" s="475"/>
      <c r="AH191" s="190"/>
      <c r="AI191" s="190"/>
      <c r="AJ191" s="97" t="s">
        <v>2576</v>
      </c>
      <c r="AK191" s="477" t="s">
        <v>1056</v>
      </c>
      <c r="AL191" s="155" t="str">
        <f ca="1" t="shared" si="36"/>
        <v>11 Tahun 10 Bulan </v>
      </c>
      <c r="AM191" s="476" t="s">
        <v>1238</v>
      </c>
      <c r="AN191" s="476" t="s">
        <v>93</v>
      </c>
      <c r="AO191" s="97" t="s">
        <v>2636</v>
      </c>
      <c r="AP191" s="97" t="s">
        <v>1659</v>
      </c>
      <c r="AQ191" s="97"/>
      <c r="AR191" s="190"/>
      <c r="AS191" s="97"/>
      <c r="AT191" s="190"/>
      <c r="AU191" s="97"/>
      <c r="AV191" s="99" t="s">
        <v>2637</v>
      </c>
      <c r="AW191" s="98" t="s">
        <v>100</v>
      </c>
      <c r="AX191" s="98" t="s">
        <v>101</v>
      </c>
      <c r="AY191" s="99" t="s">
        <v>430</v>
      </c>
      <c r="AZ191" s="190"/>
      <c r="BA191" s="190"/>
      <c r="BB191" s="475" t="s">
        <v>346</v>
      </c>
      <c r="BC191" s="190" t="s">
        <v>2638</v>
      </c>
      <c r="BD191" s="98">
        <v>2</v>
      </c>
      <c r="BE191" s="98">
        <v>16</v>
      </c>
      <c r="BF191" s="98">
        <v>18</v>
      </c>
      <c r="BG191" s="190"/>
      <c r="BH191" s="96" t="s">
        <v>301</v>
      </c>
      <c r="BI191" s="97" t="s">
        <v>2582</v>
      </c>
      <c r="BJ191" s="99" t="s">
        <v>2631</v>
      </c>
      <c r="BK191" s="638" t="s">
        <v>2639</v>
      </c>
      <c r="BL191" s="499"/>
      <c r="BM191" s="491"/>
      <c r="BN191" s="491"/>
      <c r="BO191" s="491"/>
      <c r="BP191" s="491"/>
      <c r="BQ191" s="491"/>
      <c r="BR191" s="491"/>
      <c r="BS191" s="491"/>
      <c r="BT191" s="491"/>
      <c r="BU191" s="491"/>
      <c r="BV191" s="491"/>
      <c r="BW191" s="491"/>
      <c r="BX191" s="491"/>
      <c r="BY191" s="491"/>
      <c r="BZ191" s="491"/>
      <c r="CA191" s="491"/>
      <c r="CB191" s="491"/>
      <c r="CC191" s="491"/>
      <c r="CD191" s="491"/>
      <c r="CE191" s="491"/>
      <c r="CF191" s="491"/>
      <c r="CG191" s="491"/>
      <c r="CH191" s="491"/>
      <c r="CI191" s="491"/>
      <c r="CJ191" s="491"/>
      <c r="CK191" s="491"/>
      <c r="CL191" s="491"/>
      <c r="CM191" s="491"/>
      <c r="CN191" s="491"/>
      <c r="CO191" s="491"/>
      <c r="CP191" s="491"/>
      <c r="CQ191" s="491"/>
      <c r="CR191" s="491"/>
      <c r="CS191" s="491"/>
      <c r="CT191" s="491"/>
      <c r="CU191" s="491"/>
      <c r="CV191" s="491"/>
      <c r="CW191" s="491"/>
      <c r="CX191" s="491"/>
      <c r="CY191" s="491"/>
      <c r="CZ191" s="491"/>
      <c r="DA191" s="491"/>
      <c r="DB191" s="491"/>
      <c r="DC191" s="491"/>
      <c r="DD191" s="491"/>
      <c r="DE191" s="491"/>
      <c r="DF191" s="491"/>
      <c r="DG191" s="491"/>
      <c r="DH191" s="491"/>
      <c r="DI191" s="491"/>
      <c r="DJ191" s="491"/>
      <c r="DK191" s="491"/>
      <c r="DL191" s="491"/>
      <c r="DM191" s="491"/>
      <c r="DN191" s="491"/>
      <c r="DO191" s="491"/>
      <c r="DP191" s="491"/>
      <c r="DQ191" s="491"/>
      <c r="DR191" s="491"/>
      <c r="DS191" s="491"/>
      <c r="DT191" s="491"/>
      <c r="DU191" s="491"/>
      <c r="DV191" s="491"/>
      <c r="DW191" s="491"/>
      <c r="DX191" s="491"/>
      <c r="DY191" s="491"/>
      <c r="DZ191" s="491"/>
      <c r="EA191" s="491"/>
      <c r="EB191" s="491"/>
      <c r="EC191" s="491"/>
      <c r="ED191" s="491"/>
      <c r="EE191" s="491"/>
      <c r="EF191" s="491"/>
      <c r="EG191" s="491"/>
      <c r="EH191" s="491"/>
      <c r="EI191" s="491"/>
      <c r="EJ191" s="491"/>
      <c r="EK191" s="491"/>
      <c r="EL191" s="491"/>
      <c r="EM191" s="491"/>
      <c r="EN191" s="491"/>
      <c r="EO191" s="491"/>
      <c r="EP191" s="491"/>
      <c r="EQ191" s="491"/>
      <c r="ER191" s="491"/>
      <c r="ES191" s="491"/>
      <c r="ET191" s="491"/>
      <c r="EU191" s="491"/>
      <c r="EV191" s="491"/>
      <c r="EW191" s="491"/>
      <c r="EX191" s="491"/>
      <c r="EY191" s="491"/>
      <c r="EZ191" s="491"/>
      <c r="FA191" s="491"/>
      <c r="FB191" s="491"/>
      <c r="FC191" s="491"/>
      <c r="FD191" s="491"/>
      <c r="FE191" s="491"/>
      <c r="FF191" s="491"/>
      <c r="FG191" s="491"/>
      <c r="FH191" s="491"/>
      <c r="FI191" s="491"/>
      <c r="FJ191" s="491"/>
      <c r="FK191" s="491"/>
      <c r="FL191" s="491"/>
      <c r="FM191" s="491"/>
      <c r="FN191" s="491"/>
      <c r="FO191" s="491"/>
      <c r="FP191" s="491"/>
      <c r="FQ191" s="491"/>
      <c r="FR191" s="491"/>
      <c r="FS191" s="491"/>
      <c r="FT191" s="491"/>
      <c r="FU191" s="491"/>
      <c r="FV191" s="491"/>
      <c r="FW191" s="491"/>
      <c r="FX191" s="491"/>
      <c r="FY191" s="491"/>
      <c r="FZ191" s="491"/>
      <c r="GA191" s="491"/>
      <c r="GB191" s="491"/>
      <c r="GC191" s="491"/>
      <c r="GD191" s="491"/>
      <c r="GE191" s="491"/>
      <c r="GF191" s="491"/>
      <c r="GG191" s="491"/>
      <c r="GH191" s="491"/>
      <c r="GI191" s="491"/>
      <c r="GJ191" s="491"/>
      <c r="GK191" s="491"/>
      <c r="GL191" s="491"/>
      <c r="GM191" s="491"/>
      <c r="GN191" s="491"/>
      <c r="GO191" s="491"/>
      <c r="GP191" s="491"/>
      <c r="GQ191" s="491"/>
      <c r="GR191" s="491"/>
      <c r="GS191" s="491"/>
      <c r="GT191" s="491"/>
      <c r="GU191" s="491"/>
      <c r="GV191" s="491"/>
      <c r="GW191" s="491"/>
      <c r="GX191" s="491"/>
      <c r="GY191" s="491"/>
      <c r="GZ191" s="491"/>
      <c r="HA191" s="491"/>
      <c r="HB191" s="491"/>
      <c r="HC191" s="491"/>
      <c r="HD191" s="491"/>
      <c r="HE191" s="491"/>
      <c r="HF191" s="491"/>
      <c r="HG191" s="491"/>
      <c r="HH191" s="491"/>
      <c r="HI191" s="491"/>
      <c r="HJ191" s="491"/>
      <c r="HK191" s="491"/>
      <c r="HL191" s="491"/>
      <c r="HM191" s="491"/>
      <c r="HN191" s="491"/>
      <c r="HO191" s="491"/>
      <c r="HP191" s="491"/>
      <c r="HQ191" s="491"/>
      <c r="HR191" s="491"/>
      <c r="HS191" s="491"/>
      <c r="HT191" s="491"/>
      <c r="HU191" s="491"/>
      <c r="HV191" s="491"/>
      <c r="HW191" s="491"/>
      <c r="HX191" s="491"/>
      <c r="HY191" s="491"/>
      <c r="HZ191" s="491"/>
      <c r="IA191" s="491"/>
      <c r="IB191" s="491"/>
      <c r="IC191" s="491"/>
      <c r="ID191" s="491"/>
      <c r="IE191" s="491"/>
      <c r="IF191" s="491"/>
      <c r="IG191" s="491"/>
      <c r="IH191" s="491"/>
      <c r="II191" s="491"/>
      <c r="IJ191" s="491"/>
      <c r="IK191" s="491"/>
      <c r="IL191" s="491"/>
      <c r="IM191" s="491"/>
      <c r="IN191" s="491"/>
      <c r="IO191" s="491"/>
      <c r="IP191" s="491"/>
      <c r="IQ191" s="491"/>
      <c r="IR191" s="491"/>
      <c r="IS191" s="491"/>
      <c r="IT191" s="491"/>
      <c r="IU191" s="491"/>
    </row>
    <row r="192" s="43" customFormat="1" ht="26" spans="1:255">
      <c r="A192" s="54">
        <v>187</v>
      </c>
      <c r="B192" s="98">
        <v>2750</v>
      </c>
      <c r="C192" s="97" t="s">
        <v>509</v>
      </c>
      <c r="D192" s="97" t="s">
        <v>76</v>
      </c>
      <c r="E192" s="99" t="s">
        <v>2569</v>
      </c>
      <c r="F192" s="190"/>
      <c r="G192" s="99" t="s">
        <v>2640</v>
      </c>
      <c r="H192" s="97" t="s">
        <v>177</v>
      </c>
      <c r="I192" s="102" t="str">
        <f t="shared" si="29"/>
        <v>Made Putra, S.Pd</v>
      </c>
      <c r="J192" s="96" t="s">
        <v>127</v>
      </c>
      <c r="K192" s="97" t="s">
        <v>2570</v>
      </c>
      <c r="L192" s="99" t="s">
        <v>2641</v>
      </c>
      <c r="M192" s="443">
        <v>31514</v>
      </c>
      <c r="N192" s="444" t="str">
        <f ca="1" t="shared" si="30"/>
        <v>39 Tahun 6 Bulan </v>
      </c>
      <c r="O192" s="445">
        <v>31514</v>
      </c>
      <c r="P192" s="98">
        <f ca="1" t="shared" si="33"/>
        <v>39</v>
      </c>
      <c r="Q192" s="98" t="str">
        <f ca="1" t="shared" si="34"/>
        <v>OKE</v>
      </c>
      <c r="R192" s="635" t="s">
        <v>2642</v>
      </c>
      <c r="S192" s="190"/>
      <c r="T192" s="190"/>
      <c r="U192" s="97" t="s">
        <v>83</v>
      </c>
      <c r="V192" s="97" t="s">
        <v>84</v>
      </c>
      <c r="W192" s="97" t="s">
        <v>2643</v>
      </c>
      <c r="X192" s="190" t="s">
        <v>2635</v>
      </c>
      <c r="Y192" s="636" t="s">
        <v>1496</v>
      </c>
      <c r="Z192" s="190"/>
      <c r="AA192" s="190"/>
      <c r="AB192" s="97" t="s">
        <v>2635</v>
      </c>
      <c r="AC192" s="98">
        <v>77375</v>
      </c>
      <c r="AD192" s="97" t="s">
        <v>1053</v>
      </c>
      <c r="AE192" s="190"/>
      <c r="AF192" s="637" t="s">
        <v>2644</v>
      </c>
      <c r="AG192" s="479" t="s">
        <v>2645</v>
      </c>
      <c r="AH192" s="190"/>
      <c r="AI192" s="190"/>
      <c r="AJ192" s="97" t="s">
        <v>2576</v>
      </c>
      <c r="AK192" s="477" t="s">
        <v>1056</v>
      </c>
      <c r="AL192" s="155" t="str">
        <f ca="1" t="shared" si="36"/>
        <v>11 Tahun 10 Bulan </v>
      </c>
      <c r="AM192" s="476" t="s">
        <v>1238</v>
      </c>
      <c r="AN192" s="476" t="s">
        <v>93</v>
      </c>
      <c r="AO192" s="97" t="s">
        <v>2646</v>
      </c>
      <c r="AP192" s="97" t="s">
        <v>1659</v>
      </c>
      <c r="AQ192" s="97"/>
      <c r="AR192" s="190"/>
      <c r="AS192" s="97"/>
      <c r="AT192" s="190"/>
      <c r="AU192" s="97"/>
      <c r="AV192" s="99" t="s">
        <v>2647</v>
      </c>
      <c r="AW192" s="98" t="s">
        <v>100</v>
      </c>
      <c r="AX192" s="98" t="s">
        <v>101</v>
      </c>
      <c r="AY192" s="99" t="s">
        <v>2648</v>
      </c>
      <c r="AZ192" s="190"/>
      <c r="BA192" s="190"/>
      <c r="BB192" s="475" t="s">
        <v>2649</v>
      </c>
      <c r="BC192" s="190" t="s">
        <v>456</v>
      </c>
      <c r="BD192" s="98">
        <v>16</v>
      </c>
      <c r="BE192" s="98">
        <v>30</v>
      </c>
      <c r="BF192" s="98">
        <v>46</v>
      </c>
      <c r="BG192" s="190"/>
      <c r="BH192" s="96" t="s">
        <v>301</v>
      </c>
      <c r="BI192" s="97" t="s">
        <v>2582</v>
      </c>
      <c r="BJ192" s="99" t="s">
        <v>2640</v>
      </c>
      <c r="BK192" s="638" t="s">
        <v>2650</v>
      </c>
      <c r="BL192" s="499"/>
      <c r="BM192" s="491"/>
      <c r="BN192" s="491"/>
      <c r="BO192" s="491"/>
      <c r="BP192" s="491"/>
      <c r="BQ192" s="491"/>
      <c r="BR192" s="491"/>
      <c r="BS192" s="491"/>
      <c r="BT192" s="491"/>
      <c r="BU192" s="491"/>
      <c r="BV192" s="491"/>
      <c r="BW192" s="491"/>
      <c r="BX192" s="491"/>
      <c r="BY192" s="491"/>
      <c r="BZ192" s="491"/>
      <c r="CA192" s="491"/>
      <c r="CB192" s="491"/>
      <c r="CC192" s="491"/>
      <c r="CD192" s="491"/>
      <c r="CE192" s="491"/>
      <c r="CF192" s="491"/>
      <c r="CG192" s="491"/>
      <c r="CH192" s="491"/>
      <c r="CI192" s="491"/>
      <c r="CJ192" s="491"/>
      <c r="CK192" s="491"/>
      <c r="CL192" s="491"/>
      <c r="CM192" s="491"/>
      <c r="CN192" s="491"/>
      <c r="CO192" s="491"/>
      <c r="CP192" s="491"/>
      <c r="CQ192" s="491"/>
      <c r="CR192" s="491"/>
      <c r="CS192" s="491"/>
      <c r="CT192" s="491"/>
      <c r="CU192" s="491"/>
      <c r="CV192" s="491"/>
      <c r="CW192" s="491"/>
      <c r="CX192" s="491"/>
      <c r="CY192" s="491"/>
      <c r="CZ192" s="491"/>
      <c r="DA192" s="491"/>
      <c r="DB192" s="491"/>
      <c r="DC192" s="491"/>
      <c r="DD192" s="491"/>
      <c r="DE192" s="491"/>
      <c r="DF192" s="491"/>
      <c r="DG192" s="491"/>
      <c r="DH192" s="491"/>
      <c r="DI192" s="491"/>
      <c r="DJ192" s="491"/>
      <c r="DK192" s="491"/>
      <c r="DL192" s="491"/>
      <c r="DM192" s="491"/>
      <c r="DN192" s="491"/>
      <c r="DO192" s="491"/>
      <c r="DP192" s="491"/>
      <c r="DQ192" s="491"/>
      <c r="DR192" s="491"/>
      <c r="DS192" s="491"/>
      <c r="DT192" s="491"/>
      <c r="DU192" s="491"/>
      <c r="DV192" s="491"/>
      <c r="DW192" s="491"/>
      <c r="DX192" s="491"/>
      <c r="DY192" s="491"/>
      <c r="DZ192" s="491"/>
      <c r="EA192" s="491"/>
      <c r="EB192" s="491"/>
      <c r="EC192" s="491"/>
      <c r="ED192" s="491"/>
      <c r="EE192" s="491"/>
      <c r="EF192" s="491"/>
      <c r="EG192" s="491"/>
      <c r="EH192" s="491"/>
      <c r="EI192" s="491"/>
      <c r="EJ192" s="491"/>
      <c r="EK192" s="491"/>
      <c r="EL192" s="491"/>
      <c r="EM192" s="491"/>
      <c r="EN192" s="491"/>
      <c r="EO192" s="491"/>
      <c r="EP192" s="491"/>
      <c r="EQ192" s="491"/>
      <c r="ER192" s="491"/>
      <c r="ES192" s="491"/>
      <c r="ET192" s="491"/>
      <c r="EU192" s="491"/>
      <c r="EV192" s="491"/>
      <c r="EW192" s="491"/>
      <c r="EX192" s="491"/>
      <c r="EY192" s="491"/>
      <c r="EZ192" s="491"/>
      <c r="FA192" s="491"/>
      <c r="FB192" s="491"/>
      <c r="FC192" s="491"/>
      <c r="FD192" s="491"/>
      <c r="FE192" s="491"/>
      <c r="FF192" s="491"/>
      <c r="FG192" s="491"/>
      <c r="FH192" s="491"/>
      <c r="FI192" s="491"/>
      <c r="FJ192" s="491"/>
      <c r="FK192" s="491"/>
      <c r="FL192" s="491"/>
      <c r="FM192" s="491"/>
      <c r="FN192" s="491"/>
      <c r="FO192" s="491"/>
      <c r="FP192" s="491"/>
      <c r="FQ192" s="491"/>
      <c r="FR192" s="491"/>
      <c r="FS192" s="491"/>
      <c r="FT192" s="491"/>
      <c r="FU192" s="491"/>
      <c r="FV192" s="491"/>
      <c r="FW192" s="491"/>
      <c r="FX192" s="491"/>
      <c r="FY192" s="491"/>
      <c r="FZ192" s="491"/>
      <c r="GA192" s="491"/>
      <c r="GB192" s="491"/>
      <c r="GC192" s="491"/>
      <c r="GD192" s="491"/>
      <c r="GE192" s="491"/>
      <c r="GF192" s="491"/>
      <c r="GG192" s="491"/>
      <c r="GH192" s="491"/>
      <c r="GI192" s="491"/>
      <c r="GJ192" s="491"/>
      <c r="GK192" s="491"/>
      <c r="GL192" s="491"/>
      <c r="GM192" s="491"/>
      <c r="GN192" s="491"/>
      <c r="GO192" s="491"/>
      <c r="GP192" s="491"/>
      <c r="GQ192" s="491"/>
      <c r="GR192" s="491"/>
      <c r="GS192" s="491"/>
      <c r="GT192" s="491"/>
      <c r="GU192" s="491"/>
      <c r="GV192" s="491"/>
      <c r="GW192" s="491"/>
      <c r="GX192" s="491"/>
      <c r="GY192" s="491"/>
      <c r="GZ192" s="491"/>
      <c r="HA192" s="491"/>
      <c r="HB192" s="491"/>
      <c r="HC192" s="491"/>
      <c r="HD192" s="491"/>
      <c r="HE192" s="491"/>
      <c r="HF192" s="491"/>
      <c r="HG192" s="491"/>
      <c r="HH192" s="491"/>
      <c r="HI192" s="491"/>
      <c r="HJ192" s="491"/>
      <c r="HK192" s="491"/>
      <c r="HL192" s="491"/>
      <c r="HM192" s="491"/>
      <c r="HN192" s="491"/>
      <c r="HO192" s="491"/>
      <c r="HP192" s="491"/>
      <c r="HQ192" s="491"/>
      <c r="HR192" s="491"/>
      <c r="HS192" s="491"/>
      <c r="HT192" s="491"/>
      <c r="HU192" s="491"/>
      <c r="HV192" s="491"/>
      <c r="HW192" s="491"/>
      <c r="HX192" s="491"/>
      <c r="HY192" s="491"/>
      <c r="HZ192" s="491"/>
      <c r="IA192" s="491"/>
      <c r="IB192" s="491"/>
      <c r="IC192" s="491"/>
      <c r="ID192" s="491"/>
      <c r="IE192" s="491"/>
      <c r="IF192" s="491"/>
      <c r="IG192" s="491"/>
      <c r="IH192" s="491"/>
      <c r="II192" s="491"/>
      <c r="IJ192" s="491"/>
      <c r="IK192" s="491"/>
      <c r="IL192" s="491"/>
      <c r="IM192" s="491"/>
      <c r="IN192" s="491"/>
      <c r="IO192" s="491"/>
      <c r="IP192" s="491"/>
      <c r="IQ192" s="491"/>
      <c r="IR192" s="491"/>
      <c r="IS192" s="491"/>
      <c r="IT192" s="491"/>
      <c r="IU192" s="491"/>
    </row>
    <row r="193" s="43" customFormat="1" spans="1:255">
      <c r="A193" s="54">
        <v>188</v>
      </c>
      <c r="B193" s="98">
        <v>2751</v>
      </c>
      <c r="C193" s="97" t="s">
        <v>509</v>
      </c>
      <c r="D193" s="97" t="s">
        <v>76</v>
      </c>
      <c r="E193" s="99" t="s">
        <v>2569</v>
      </c>
      <c r="F193" s="190"/>
      <c r="G193" s="99" t="s">
        <v>2651</v>
      </c>
      <c r="H193" s="97" t="s">
        <v>177</v>
      </c>
      <c r="I193" s="102" t="str">
        <f t="shared" si="29"/>
        <v>Mardiwati, S.Pd</v>
      </c>
      <c r="J193" s="96" t="s">
        <v>80</v>
      </c>
      <c r="K193" s="97" t="str">
        <f>IF(J193="P","Perempuan",IF(J193="L","Laki-laki"))</f>
        <v>Perempuan</v>
      </c>
      <c r="L193" s="99" t="s">
        <v>2652</v>
      </c>
      <c r="M193" s="443">
        <v>31431</v>
      </c>
      <c r="N193" s="444" t="str">
        <f ca="1" t="shared" si="30"/>
        <v>39 Tahun 9 Bulan </v>
      </c>
      <c r="O193" s="445">
        <v>31431</v>
      </c>
      <c r="P193" s="98">
        <f ca="1" t="shared" si="33"/>
        <v>39</v>
      </c>
      <c r="Q193" s="98" t="str">
        <f ca="1" t="shared" si="34"/>
        <v>OKE</v>
      </c>
      <c r="R193" s="635" t="s">
        <v>2653</v>
      </c>
      <c r="S193" s="190"/>
      <c r="T193" s="190"/>
      <c r="U193" s="97" t="s">
        <v>83</v>
      </c>
      <c r="V193" s="97" t="s">
        <v>84</v>
      </c>
      <c r="W193" s="97" t="s">
        <v>112</v>
      </c>
      <c r="X193" s="190" t="s">
        <v>2654</v>
      </c>
      <c r="Y193" s="190"/>
      <c r="Z193" s="190"/>
      <c r="AA193" s="190"/>
      <c r="AB193" s="97" t="s">
        <v>2654</v>
      </c>
      <c r="AC193" s="98">
        <v>77375</v>
      </c>
      <c r="AD193" s="97" t="s">
        <v>1053</v>
      </c>
      <c r="AE193" s="190"/>
      <c r="AF193" s="98"/>
      <c r="AG193" s="475"/>
      <c r="AH193" s="190"/>
      <c r="AI193" s="190"/>
      <c r="AJ193" s="97" t="s">
        <v>2576</v>
      </c>
      <c r="AK193" s="477" t="s">
        <v>1056</v>
      </c>
      <c r="AL193" s="155" t="str">
        <f ca="1" t="shared" si="36"/>
        <v>11 Tahun 10 Bulan </v>
      </c>
      <c r="AM193" s="476" t="s">
        <v>1238</v>
      </c>
      <c r="AN193" s="476" t="s">
        <v>93</v>
      </c>
      <c r="AO193" s="97" t="s">
        <v>2655</v>
      </c>
      <c r="AP193" s="97" t="s">
        <v>838</v>
      </c>
      <c r="AQ193" s="97" t="s">
        <v>2656</v>
      </c>
      <c r="AR193" s="190"/>
      <c r="AS193" s="97" t="s">
        <v>2076</v>
      </c>
      <c r="AT193" s="190"/>
      <c r="AU193" s="97"/>
      <c r="AV193" s="99" t="s">
        <v>2657</v>
      </c>
      <c r="AW193" s="98" t="s">
        <v>100</v>
      </c>
      <c r="AX193" s="98" t="s">
        <v>101</v>
      </c>
      <c r="AY193" s="99" t="s">
        <v>575</v>
      </c>
      <c r="AZ193" s="190"/>
      <c r="BA193" s="190"/>
      <c r="BB193" s="475" t="s">
        <v>2580</v>
      </c>
      <c r="BC193" s="190" t="s">
        <v>416</v>
      </c>
      <c r="BD193" s="98">
        <v>4</v>
      </c>
      <c r="BE193" s="98">
        <v>26</v>
      </c>
      <c r="BF193" s="98">
        <v>30</v>
      </c>
      <c r="BG193" s="190"/>
      <c r="BH193" s="96" t="s">
        <v>301</v>
      </c>
      <c r="BI193" s="97" t="s">
        <v>2582</v>
      </c>
      <c r="BJ193" s="99" t="s">
        <v>2651</v>
      </c>
      <c r="BK193" s="638" t="s">
        <v>2658</v>
      </c>
      <c r="BL193" s="499"/>
      <c r="BM193" s="491"/>
      <c r="BN193" s="491"/>
      <c r="BO193" s="491"/>
      <c r="BP193" s="491"/>
      <c r="BQ193" s="491"/>
      <c r="BR193" s="491"/>
      <c r="BS193" s="491"/>
      <c r="BT193" s="491"/>
      <c r="BU193" s="491"/>
      <c r="BV193" s="491"/>
      <c r="BW193" s="491"/>
      <c r="BX193" s="491"/>
      <c r="BY193" s="491"/>
      <c r="BZ193" s="491"/>
      <c r="CA193" s="491"/>
      <c r="CB193" s="491"/>
      <c r="CC193" s="491"/>
      <c r="CD193" s="491"/>
      <c r="CE193" s="491"/>
      <c r="CF193" s="491"/>
      <c r="CG193" s="491"/>
      <c r="CH193" s="491"/>
      <c r="CI193" s="491"/>
      <c r="CJ193" s="491"/>
      <c r="CK193" s="491"/>
      <c r="CL193" s="491"/>
      <c r="CM193" s="491"/>
      <c r="CN193" s="491"/>
      <c r="CO193" s="491"/>
      <c r="CP193" s="491"/>
      <c r="CQ193" s="491"/>
      <c r="CR193" s="491"/>
      <c r="CS193" s="491"/>
      <c r="CT193" s="491"/>
      <c r="CU193" s="491"/>
      <c r="CV193" s="491"/>
      <c r="CW193" s="491"/>
      <c r="CX193" s="491"/>
      <c r="CY193" s="491"/>
      <c r="CZ193" s="491"/>
      <c r="DA193" s="491"/>
      <c r="DB193" s="491"/>
      <c r="DC193" s="491"/>
      <c r="DD193" s="491"/>
      <c r="DE193" s="491"/>
      <c r="DF193" s="491"/>
      <c r="DG193" s="491"/>
      <c r="DH193" s="491"/>
      <c r="DI193" s="491"/>
      <c r="DJ193" s="491"/>
      <c r="DK193" s="491"/>
      <c r="DL193" s="491"/>
      <c r="DM193" s="491"/>
      <c r="DN193" s="491"/>
      <c r="DO193" s="491"/>
      <c r="DP193" s="491"/>
      <c r="DQ193" s="491"/>
      <c r="DR193" s="491"/>
      <c r="DS193" s="491"/>
      <c r="DT193" s="491"/>
      <c r="DU193" s="491"/>
      <c r="DV193" s="491"/>
      <c r="DW193" s="491"/>
      <c r="DX193" s="491"/>
      <c r="DY193" s="491"/>
      <c r="DZ193" s="491"/>
      <c r="EA193" s="491"/>
      <c r="EB193" s="491"/>
      <c r="EC193" s="491"/>
      <c r="ED193" s="491"/>
      <c r="EE193" s="491"/>
      <c r="EF193" s="491"/>
      <c r="EG193" s="491"/>
      <c r="EH193" s="491"/>
      <c r="EI193" s="491"/>
      <c r="EJ193" s="491"/>
      <c r="EK193" s="491"/>
      <c r="EL193" s="491"/>
      <c r="EM193" s="491"/>
      <c r="EN193" s="491"/>
      <c r="EO193" s="491"/>
      <c r="EP193" s="491"/>
      <c r="EQ193" s="491"/>
      <c r="ER193" s="491"/>
      <c r="ES193" s="491"/>
      <c r="ET193" s="491"/>
      <c r="EU193" s="491"/>
      <c r="EV193" s="491"/>
      <c r="EW193" s="491"/>
      <c r="EX193" s="491"/>
      <c r="EY193" s="491"/>
      <c r="EZ193" s="491"/>
      <c r="FA193" s="491"/>
      <c r="FB193" s="491"/>
      <c r="FC193" s="491"/>
      <c r="FD193" s="491"/>
      <c r="FE193" s="491"/>
      <c r="FF193" s="491"/>
      <c r="FG193" s="491"/>
      <c r="FH193" s="491"/>
      <c r="FI193" s="491"/>
      <c r="FJ193" s="491"/>
      <c r="FK193" s="491"/>
      <c r="FL193" s="491"/>
      <c r="FM193" s="491"/>
      <c r="FN193" s="491"/>
      <c r="FO193" s="491"/>
      <c r="FP193" s="491"/>
      <c r="FQ193" s="491"/>
      <c r="FR193" s="491"/>
      <c r="FS193" s="491"/>
      <c r="FT193" s="491"/>
      <c r="FU193" s="491"/>
      <c r="FV193" s="491"/>
      <c r="FW193" s="491"/>
      <c r="FX193" s="491"/>
      <c r="FY193" s="491"/>
      <c r="FZ193" s="491"/>
      <c r="GA193" s="491"/>
      <c r="GB193" s="491"/>
      <c r="GC193" s="491"/>
      <c r="GD193" s="491"/>
      <c r="GE193" s="491"/>
      <c r="GF193" s="491"/>
      <c r="GG193" s="491"/>
      <c r="GH193" s="491"/>
      <c r="GI193" s="491"/>
      <c r="GJ193" s="491"/>
      <c r="GK193" s="491"/>
      <c r="GL193" s="491"/>
      <c r="GM193" s="491"/>
      <c r="GN193" s="491"/>
      <c r="GO193" s="491"/>
      <c r="GP193" s="491"/>
      <c r="GQ193" s="491"/>
      <c r="GR193" s="491"/>
      <c r="GS193" s="491"/>
      <c r="GT193" s="491"/>
      <c r="GU193" s="491"/>
      <c r="GV193" s="491"/>
      <c r="GW193" s="491"/>
      <c r="GX193" s="491"/>
      <c r="GY193" s="491"/>
      <c r="GZ193" s="491"/>
      <c r="HA193" s="491"/>
      <c r="HB193" s="491"/>
      <c r="HC193" s="491"/>
      <c r="HD193" s="491"/>
      <c r="HE193" s="491"/>
      <c r="HF193" s="491"/>
      <c r="HG193" s="491"/>
      <c r="HH193" s="491"/>
      <c r="HI193" s="491"/>
      <c r="HJ193" s="491"/>
      <c r="HK193" s="491"/>
      <c r="HL193" s="491"/>
      <c r="HM193" s="491"/>
      <c r="HN193" s="491"/>
      <c r="HO193" s="491"/>
      <c r="HP193" s="491"/>
      <c r="HQ193" s="491"/>
      <c r="HR193" s="491"/>
      <c r="HS193" s="491"/>
      <c r="HT193" s="491"/>
      <c r="HU193" s="491"/>
      <c r="HV193" s="491"/>
      <c r="HW193" s="491"/>
      <c r="HX193" s="491"/>
      <c r="HY193" s="491"/>
      <c r="HZ193" s="491"/>
      <c r="IA193" s="491"/>
      <c r="IB193" s="491"/>
      <c r="IC193" s="491"/>
      <c r="ID193" s="491"/>
      <c r="IE193" s="491"/>
      <c r="IF193" s="491"/>
      <c r="IG193" s="491"/>
      <c r="IH193" s="491"/>
      <c r="II193" s="491"/>
      <c r="IJ193" s="491"/>
      <c r="IK193" s="491"/>
      <c r="IL193" s="491"/>
      <c r="IM193" s="491"/>
      <c r="IN193" s="491"/>
      <c r="IO193" s="491"/>
      <c r="IP193" s="491"/>
      <c r="IQ193" s="491"/>
      <c r="IR193" s="491"/>
      <c r="IS193" s="491"/>
      <c r="IT193" s="491"/>
      <c r="IU193" s="491"/>
    </row>
    <row r="194" s="43" customFormat="1" spans="1:255">
      <c r="A194" s="54">
        <v>189</v>
      </c>
      <c r="B194" s="98">
        <v>2752</v>
      </c>
      <c r="C194" s="97" t="s">
        <v>509</v>
      </c>
      <c r="D194" s="97" t="s">
        <v>76</v>
      </c>
      <c r="E194" s="99" t="s">
        <v>2569</v>
      </c>
      <c r="F194" s="190"/>
      <c r="G194" s="99" t="s">
        <v>2659</v>
      </c>
      <c r="H194" s="97" t="s">
        <v>177</v>
      </c>
      <c r="I194" s="102" t="str">
        <f t="shared" si="29"/>
        <v>Maria Rante Pakku, S.Pd</v>
      </c>
      <c r="J194" s="96" t="s">
        <v>80</v>
      </c>
      <c r="K194" s="97" t="str">
        <f>IF(J194="P","Perempuan",IF(J194="L","Laki-laki"))</f>
        <v>Perempuan</v>
      </c>
      <c r="L194" s="99" t="s">
        <v>2660</v>
      </c>
      <c r="M194" s="443">
        <v>30482</v>
      </c>
      <c r="N194" s="444" t="str">
        <f ca="1" t="shared" si="30"/>
        <v>42 Tahun 4 Bulan </v>
      </c>
      <c r="O194" s="445">
        <v>30482</v>
      </c>
      <c r="P194" s="98">
        <f ca="1" t="shared" si="33"/>
        <v>42</v>
      </c>
      <c r="Q194" s="98" t="str">
        <f ca="1" t="shared" si="34"/>
        <v>OKE</v>
      </c>
      <c r="R194" s="635" t="s">
        <v>2661</v>
      </c>
      <c r="S194" s="190"/>
      <c r="T194" s="521" t="s">
        <v>2662</v>
      </c>
      <c r="U194" s="97" t="s">
        <v>83</v>
      </c>
      <c r="V194" s="97" t="s">
        <v>84</v>
      </c>
      <c r="W194" s="97" t="s">
        <v>2663</v>
      </c>
      <c r="X194" s="190" t="s">
        <v>2664</v>
      </c>
      <c r="Y194" s="636" t="s">
        <v>2665</v>
      </c>
      <c r="Z194" s="190"/>
      <c r="AA194" s="190"/>
      <c r="AB194" s="97" t="s">
        <v>209</v>
      </c>
      <c r="AC194" s="98"/>
      <c r="AD194" s="97" t="s">
        <v>2666</v>
      </c>
      <c r="AE194" s="190"/>
      <c r="AF194" s="637" t="s">
        <v>2667</v>
      </c>
      <c r="AG194" s="478" t="s">
        <v>2668</v>
      </c>
      <c r="AH194" s="190"/>
      <c r="AI194" s="190"/>
      <c r="AJ194" s="97" t="s">
        <v>2576</v>
      </c>
      <c r="AK194" s="477" t="s">
        <v>1056</v>
      </c>
      <c r="AL194" s="155" t="str">
        <f ca="1" t="shared" si="36"/>
        <v>11 Tahun 10 Bulan </v>
      </c>
      <c r="AM194" s="476" t="s">
        <v>1238</v>
      </c>
      <c r="AN194" s="476" t="s">
        <v>93</v>
      </c>
      <c r="AO194" s="97" t="s">
        <v>2669</v>
      </c>
      <c r="AP194" s="97" t="s">
        <v>838</v>
      </c>
      <c r="AQ194" s="97" t="s">
        <v>2670</v>
      </c>
      <c r="AR194" s="190"/>
      <c r="AS194" s="97" t="s">
        <v>2076</v>
      </c>
      <c r="AT194" s="190"/>
      <c r="AU194" s="97"/>
      <c r="AV194" s="99" t="s">
        <v>2671</v>
      </c>
      <c r="AW194" s="98" t="s">
        <v>100</v>
      </c>
      <c r="AX194" s="98" t="s">
        <v>101</v>
      </c>
      <c r="AY194" s="99" t="s">
        <v>537</v>
      </c>
      <c r="AZ194" s="190"/>
      <c r="BA194" s="190"/>
      <c r="BB194" s="475" t="s">
        <v>346</v>
      </c>
      <c r="BC194" s="190" t="s">
        <v>313</v>
      </c>
      <c r="BD194" s="98">
        <v>2</v>
      </c>
      <c r="BE194" s="98">
        <v>20</v>
      </c>
      <c r="BF194" s="98">
        <v>20</v>
      </c>
      <c r="BG194" s="190"/>
      <c r="BH194" s="96" t="s">
        <v>301</v>
      </c>
      <c r="BI194" s="97" t="s">
        <v>2582</v>
      </c>
      <c r="BJ194" s="99" t="s">
        <v>2659</v>
      </c>
      <c r="BK194" s="638" t="s">
        <v>2672</v>
      </c>
      <c r="BL194" s="499"/>
      <c r="BM194" s="491"/>
      <c r="BN194" s="491"/>
      <c r="BO194" s="491"/>
      <c r="BP194" s="491"/>
      <c r="BQ194" s="491"/>
      <c r="BR194" s="491"/>
      <c r="BS194" s="491"/>
      <c r="BT194" s="491"/>
      <c r="BU194" s="491"/>
      <c r="BV194" s="491"/>
      <c r="BW194" s="491"/>
      <c r="BX194" s="491"/>
      <c r="BY194" s="491"/>
      <c r="BZ194" s="491"/>
      <c r="CA194" s="491"/>
      <c r="CB194" s="491"/>
      <c r="CC194" s="491"/>
      <c r="CD194" s="491"/>
      <c r="CE194" s="491"/>
      <c r="CF194" s="491"/>
      <c r="CG194" s="491"/>
      <c r="CH194" s="491"/>
      <c r="CI194" s="491"/>
      <c r="CJ194" s="491"/>
      <c r="CK194" s="491"/>
      <c r="CL194" s="491"/>
      <c r="CM194" s="491"/>
      <c r="CN194" s="491"/>
      <c r="CO194" s="491"/>
      <c r="CP194" s="491"/>
      <c r="CQ194" s="491"/>
      <c r="CR194" s="491"/>
      <c r="CS194" s="491"/>
      <c r="CT194" s="491"/>
      <c r="CU194" s="491"/>
      <c r="CV194" s="491"/>
      <c r="CW194" s="491"/>
      <c r="CX194" s="491"/>
      <c r="CY194" s="491"/>
      <c r="CZ194" s="491"/>
      <c r="DA194" s="491"/>
      <c r="DB194" s="491"/>
      <c r="DC194" s="491"/>
      <c r="DD194" s="491"/>
      <c r="DE194" s="491"/>
      <c r="DF194" s="491"/>
      <c r="DG194" s="491"/>
      <c r="DH194" s="491"/>
      <c r="DI194" s="491"/>
      <c r="DJ194" s="491"/>
      <c r="DK194" s="491"/>
      <c r="DL194" s="491"/>
      <c r="DM194" s="491"/>
      <c r="DN194" s="491"/>
      <c r="DO194" s="491"/>
      <c r="DP194" s="491"/>
      <c r="DQ194" s="491"/>
      <c r="DR194" s="491"/>
      <c r="DS194" s="491"/>
      <c r="DT194" s="491"/>
      <c r="DU194" s="491"/>
      <c r="DV194" s="491"/>
      <c r="DW194" s="491"/>
      <c r="DX194" s="491"/>
      <c r="DY194" s="491"/>
      <c r="DZ194" s="491"/>
      <c r="EA194" s="491"/>
      <c r="EB194" s="491"/>
      <c r="EC194" s="491"/>
      <c r="ED194" s="491"/>
      <c r="EE194" s="491"/>
      <c r="EF194" s="491"/>
      <c r="EG194" s="491"/>
      <c r="EH194" s="491"/>
      <c r="EI194" s="491"/>
      <c r="EJ194" s="491"/>
      <c r="EK194" s="491"/>
      <c r="EL194" s="491"/>
      <c r="EM194" s="491"/>
      <c r="EN194" s="491"/>
      <c r="EO194" s="491"/>
      <c r="EP194" s="491"/>
      <c r="EQ194" s="491"/>
      <c r="ER194" s="491"/>
      <c r="ES194" s="491"/>
      <c r="ET194" s="491"/>
      <c r="EU194" s="491"/>
      <c r="EV194" s="491"/>
      <c r="EW194" s="491"/>
      <c r="EX194" s="491"/>
      <c r="EY194" s="491"/>
      <c r="EZ194" s="491"/>
      <c r="FA194" s="491"/>
      <c r="FB194" s="491"/>
      <c r="FC194" s="491"/>
      <c r="FD194" s="491"/>
      <c r="FE194" s="491"/>
      <c r="FF194" s="491"/>
      <c r="FG194" s="491"/>
      <c r="FH194" s="491"/>
      <c r="FI194" s="491"/>
      <c r="FJ194" s="491"/>
      <c r="FK194" s="491"/>
      <c r="FL194" s="491"/>
      <c r="FM194" s="491"/>
      <c r="FN194" s="491"/>
      <c r="FO194" s="491"/>
      <c r="FP194" s="491"/>
      <c r="FQ194" s="491"/>
      <c r="FR194" s="491"/>
      <c r="FS194" s="491"/>
      <c r="FT194" s="491"/>
      <c r="FU194" s="491"/>
      <c r="FV194" s="491"/>
      <c r="FW194" s="491"/>
      <c r="FX194" s="491"/>
      <c r="FY194" s="491"/>
      <c r="FZ194" s="491"/>
      <c r="GA194" s="491"/>
      <c r="GB194" s="491"/>
      <c r="GC194" s="491"/>
      <c r="GD194" s="491"/>
      <c r="GE194" s="491"/>
      <c r="GF194" s="491"/>
      <c r="GG194" s="491"/>
      <c r="GH194" s="491"/>
      <c r="GI194" s="491"/>
      <c r="GJ194" s="491"/>
      <c r="GK194" s="491"/>
      <c r="GL194" s="491"/>
      <c r="GM194" s="491"/>
      <c r="GN194" s="491"/>
      <c r="GO194" s="491"/>
      <c r="GP194" s="491"/>
      <c r="GQ194" s="491"/>
      <c r="GR194" s="491"/>
      <c r="GS194" s="491"/>
      <c r="GT194" s="491"/>
      <c r="GU194" s="491"/>
      <c r="GV194" s="491"/>
      <c r="GW194" s="491"/>
      <c r="GX194" s="491"/>
      <c r="GY194" s="491"/>
      <c r="GZ194" s="491"/>
      <c r="HA194" s="491"/>
      <c r="HB194" s="491"/>
      <c r="HC194" s="491"/>
      <c r="HD194" s="491"/>
      <c r="HE194" s="491"/>
      <c r="HF194" s="491"/>
      <c r="HG194" s="491"/>
      <c r="HH194" s="491"/>
      <c r="HI194" s="491"/>
      <c r="HJ194" s="491"/>
      <c r="HK194" s="491"/>
      <c r="HL194" s="491"/>
      <c r="HM194" s="491"/>
      <c r="HN194" s="491"/>
      <c r="HO194" s="491"/>
      <c r="HP194" s="491"/>
      <c r="HQ194" s="491"/>
      <c r="HR194" s="491"/>
      <c r="HS194" s="491"/>
      <c r="HT194" s="491"/>
      <c r="HU194" s="491"/>
      <c r="HV194" s="491"/>
      <c r="HW194" s="491"/>
      <c r="HX194" s="491"/>
      <c r="HY194" s="491"/>
      <c r="HZ194" s="491"/>
      <c r="IA194" s="491"/>
      <c r="IB194" s="491"/>
      <c r="IC194" s="491"/>
      <c r="ID194" s="491"/>
      <c r="IE194" s="491"/>
      <c r="IF194" s="491"/>
      <c r="IG194" s="491"/>
      <c r="IH194" s="491"/>
      <c r="II194" s="491"/>
      <c r="IJ194" s="491"/>
      <c r="IK194" s="491"/>
      <c r="IL194" s="491"/>
      <c r="IM194" s="491"/>
      <c r="IN194" s="491"/>
      <c r="IO194" s="491"/>
      <c r="IP194" s="491"/>
      <c r="IQ194" s="491"/>
      <c r="IR194" s="491"/>
      <c r="IS194" s="491"/>
      <c r="IT194" s="491"/>
      <c r="IU194" s="491"/>
    </row>
    <row r="195" s="43" customFormat="1" spans="1:255">
      <c r="A195" s="54">
        <v>190</v>
      </c>
      <c r="B195" s="98">
        <v>2755</v>
      </c>
      <c r="C195" s="97" t="s">
        <v>509</v>
      </c>
      <c r="D195" s="97" t="s">
        <v>76</v>
      </c>
      <c r="E195" s="99" t="s">
        <v>2569</v>
      </c>
      <c r="F195" s="190"/>
      <c r="G195" s="99" t="s">
        <v>2673</v>
      </c>
      <c r="H195" s="97" t="s">
        <v>177</v>
      </c>
      <c r="I195" s="102" t="str">
        <f t="shared" si="29"/>
        <v>Tajliah, S.Pd</v>
      </c>
      <c r="J195" s="96" t="s">
        <v>80</v>
      </c>
      <c r="K195" s="97" t="str">
        <f>IF(J195="P","Perempuan",IF(J195="L","Laki-laki"))</f>
        <v>Perempuan</v>
      </c>
      <c r="L195" s="99" t="s">
        <v>75</v>
      </c>
      <c r="M195" s="443">
        <v>32825</v>
      </c>
      <c r="N195" s="444" t="str">
        <f ca="1" t="shared" si="30"/>
        <v>35 Tahun 11 Bulan </v>
      </c>
      <c r="O195" s="445">
        <v>32825</v>
      </c>
      <c r="P195" s="98">
        <f ca="1" t="shared" si="33"/>
        <v>35</v>
      </c>
      <c r="Q195" s="98" t="str">
        <f ca="1" t="shared" si="34"/>
        <v>OKE</v>
      </c>
      <c r="R195" s="635" t="s">
        <v>2674</v>
      </c>
      <c r="S195" s="190"/>
      <c r="T195" s="190"/>
      <c r="U195" s="97" t="s">
        <v>83</v>
      </c>
      <c r="V195" s="97" t="s">
        <v>84</v>
      </c>
      <c r="W195" s="97" t="s">
        <v>112</v>
      </c>
      <c r="X195" s="190" t="s">
        <v>398</v>
      </c>
      <c r="Y195" s="636" t="s">
        <v>2675</v>
      </c>
      <c r="Z195" s="190"/>
      <c r="AA195" s="190"/>
      <c r="AB195" s="97" t="s">
        <v>2676</v>
      </c>
      <c r="AC195" s="98"/>
      <c r="AD195" s="97" t="s">
        <v>450</v>
      </c>
      <c r="AE195" s="190"/>
      <c r="AF195" s="637" t="s">
        <v>2677</v>
      </c>
      <c r="AG195" s="478" t="s">
        <v>2678</v>
      </c>
      <c r="AH195" s="190"/>
      <c r="AI195" s="190"/>
      <c r="AJ195" s="97" t="s">
        <v>2576</v>
      </c>
      <c r="AK195" s="477" t="s">
        <v>1056</v>
      </c>
      <c r="AL195" s="155" t="str">
        <f ca="1" t="shared" si="36"/>
        <v>11 Tahun 10 Bulan </v>
      </c>
      <c r="AM195" s="476" t="s">
        <v>1238</v>
      </c>
      <c r="AN195" s="476" t="s">
        <v>93</v>
      </c>
      <c r="AO195" s="97" t="s">
        <v>2679</v>
      </c>
      <c r="AP195" s="97" t="s">
        <v>838</v>
      </c>
      <c r="AQ195" s="97" t="s">
        <v>2680</v>
      </c>
      <c r="AR195" s="190"/>
      <c r="AS195" s="97" t="s">
        <v>2076</v>
      </c>
      <c r="AT195" s="190"/>
      <c r="AU195" s="97"/>
      <c r="AV195" s="99" t="s">
        <v>2681</v>
      </c>
      <c r="AW195" s="98" t="s">
        <v>100</v>
      </c>
      <c r="AX195" s="98" t="s">
        <v>101</v>
      </c>
      <c r="AY195" s="99" t="s">
        <v>1828</v>
      </c>
      <c r="AZ195" s="190"/>
      <c r="BA195" s="190"/>
      <c r="BB195" s="475" t="s">
        <v>346</v>
      </c>
      <c r="BC195" s="190" t="s">
        <v>374</v>
      </c>
      <c r="BD195" s="98">
        <v>2</v>
      </c>
      <c r="BE195" s="98">
        <v>19</v>
      </c>
      <c r="BF195" s="98">
        <v>21</v>
      </c>
      <c r="BG195" s="190"/>
      <c r="BH195" s="96" t="s">
        <v>301</v>
      </c>
      <c r="BI195" s="97" t="s">
        <v>2582</v>
      </c>
      <c r="BJ195" s="99" t="s">
        <v>2673</v>
      </c>
      <c r="BK195" s="638" t="s">
        <v>2682</v>
      </c>
      <c r="BL195" s="499"/>
      <c r="BM195" s="491"/>
      <c r="BN195" s="491"/>
      <c r="BO195" s="491"/>
      <c r="BP195" s="491"/>
      <c r="BQ195" s="491"/>
      <c r="BR195" s="491"/>
      <c r="BS195" s="491"/>
      <c r="BT195" s="491"/>
      <c r="BU195" s="491"/>
      <c r="BV195" s="491"/>
      <c r="BW195" s="491"/>
      <c r="BX195" s="491"/>
      <c r="BY195" s="491"/>
      <c r="BZ195" s="491"/>
      <c r="CA195" s="491"/>
      <c r="CB195" s="491"/>
      <c r="CC195" s="491"/>
      <c r="CD195" s="491"/>
      <c r="CE195" s="491"/>
      <c r="CF195" s="491"/>
      <c r="CG195" s="491"/>
      <c r="CH195" s="491"/>
      <c r="CI195" s="491"/>
      <c r="CJ195" s="491"/>
      <c r="CK195" s="491"/>
      <c r="CL195" s="491"/>
      <c r="CM195" s="491"/>
      <c r="CN195" s="491"/>
      <c r="CO195" s="491"/>
      <c r="CP195" s="491"/>
      <c r="CQ195" s="491"/>
      <c r="CR195" s="491"/>
      <c r="CS195" s="491"/>
      <c r="CT195" s="491"/>
      <c r="CU195" s="491"/>
      <c r="CV195" s="491"/>
      <c r="CW195" s="491"/>
      <c r="CX195" s="491"/>
      <c r="CY195" s="491"/>
      <c r="CZ195" s="491"/>
      <c r="DA195" s="491"/>
      <c r="DB195" s="491"/>
      <c r="DC195" s="491"/>
      <c r="DD195" s="491"/>
      <c r="DE195" s="491"/>
      <c r="DF195" s="491"/>
      <c r="DG195" s="491"/>
      <c r="DH195" s="491"/>
      <c r="DI195" s="491"/>
      <c r="DJ195" s="491"/>
      <c r="DK195" s="491"/>
      <c r="DL195" s="491"/>
      <c r="DM195" s="491"/>
      <c r="DN195" s="491"/>
      <c r="DO195" s="491"/>
      <c r="DP195" s="491"/>
      <c r="DQ195" s="491"/>
      <c r="DR195" s="491"/>
      <c r="DS195" s="491"/>
      <c r="DT195" s="491"/>
      <c r="DU195" s="491"/>
      <c r="DV195" s="491"/>
      <c r="DW195" s="491"/>
      <c r="DX195" s="491"/>
      <c r="DY195" s="491"/>
      <c r="DZ195" s="491"/>
      <c r="EA195" s="491"/>
      <c r="EB195" s="491"/>
      <c r="EC195" s="491"/>
      <c r="ED195" s="491"/>
      <c r="EE195" s="491"/>
      <c r="EF195" s="491"/>
      <c r="EG195" s="491"/>
      <c r="EH195" s="491"/>
      <c r="EI195" s="491"/>
      <c r="EJ195" s="491"/>
      <c r="EK195" s="491"/>
      <c r="EL195" s="491"/>
      <c r="EM195" s="491"/>
      <c r="EN195" s="491"/>
      <c r="EO195" s="491"/>
      <c r="EP195" s="491"/>
      <c r="EQ195" s="491"/>
      <c r="ER195" s="491"/>
      <c r="ES195" s="491"/>
      <c r="ET195" s="491"/>
      <c r="EU195" s="491"/>
      <c r="EV195" s="491"/>
      <c r="EW195" s="491"/>
      <c r="EX195" s="491"/>
      <c r="EY195" s="491"/>
      <c r="EZ195" s="491"/>
      <c r="FA195" s="491"/>
      <c r="FB195" s="491"/>
      <c r="FC195" s="491"/>
      <c r="FD195" s="491"/>
      <c r="FE195" s="491"/>
      <c r="FF195" s="491"/>
      <c r="FG195" s="491"/>
      <c r="FH195" s="491"/>
      <c r="FI195" s="491"/>
      <c r="FJ195" s="491"/>
      <c r="FK195" s="491"/>
      <c r="FL195" s="491"/>
      <c r="FM195" s="491"/>
      <c r="FN195" s="491"/>
      <c r="FO195" s="491"/>
      <c r="FP195" s="491"/>
      <c r="FQ195" s="491"/>
      <c r="FR195" s="491"/>
      <c r="FS195" s="491"/>
      <c r="FT195" s="491"/>
      <c r="FU195" s="491"/>
      <c r="FV195" s="491"/>
      <c r="FW195" s="491"/>
      <c r="FX195" s="491"/>
      <c r="FY195" s="491"/>
      <c r="FZ195" s="491"/>
      <c r="GA195" s="491"/>
      <c r="GB195" s="491"/>
      <c r="GC195" s="491"/>
      <c r="GD195" s="491"/>
      <c r="GE195" s="491"/>
      <c r="GF195" s="491"/>
      <c r="GG195" s="491"/>
      <c r="GH195" s="491"/>
      <c r="GI195" s="491"/>
      <c r="GJ195" s="491"/>
      <c r="GK195" s="491"/>
      <c r="GL195" s="491"/>
      <c r="GM195" s="491"/>
      <c r="GN195" s="491"/>
      <c r="GO195" s="491"/>
      <c r="GP195" s="491"/>
      <c r="GQ195" s="491"/>
      <c r="GR195" s="491"/>
      <c r="GS195" s="491"/>
      <c r="GT195" s="491"/>
      <c r="GU195" s="491"/>
      <c r="GV195" s="491"/>
      <c r="GW195" s="491"/>
      <c r="GX195" s="491"/>
      <c r="GY195" s="491"/>
      <c r="GZ195" s="491"/>
      <c r="HA195" s="491"/>
      <c r="HB195" s="491"/>
      <c r="HC195" s="491"/>
      <c r="HD195" s="491"/>
      <c r="HE195" s="491"/>
      <c r="HF195" s="491"/>
      <c r="HG195" s="491"/>
      <c r="HH195" s="491"/>
      <c r="HI195" s="491"/>
      <c r="HJ195" s="491"/>
      <c r="HK195" s="491"/>
      <c r="HL195" s="491"/>
      <c r="HM195" s="491"/>
      <c r="HN195" s="491"/>
      <c r="HO195" s="491"/>
      <c r="HP195" s="491"/>
      <c r="HQ195" s="491"/>
      <c r="HR195" s="491"/>
      <c r="HS195" s="491"/>
      <c r="HT195" s="491"/>
      <c r="HU195" s="491"/>
      <c r="HV195" s="491"/>
      <c r="HW195" s="491"/>
      <c r="HX195" s="491"/>
      <c r="HY195" s="491"/>
      <c r="HZ195" s="491"/>
      <c r="IA195" s="491"/>
      <c r="IB195" s="491"/>
      <c r="IC195" s="491"/>
      <c r="ID195" s="491"/>
      <c r="IE195" s="491"/>
      <c r="IF195" s="491"/>
      <c r="IG195" s="491"/>
      <c r="IH195" s="491"/>
      <c r="II195" s="491"/>
      <c r="IJ195" s="491"/>
      <c r="IK195" s="491"/>
      <c r="IL195" s="491"/>
      <c r="IM195" s="491"/>
      <c r="IN195" s="491"/>
      <c r="IO195" s="491"/>
      <c r="IP195" s="491"/>
      <c r="IQ195" s="491"/>
      <c r="IR195" s="491"/>
      <c r="IS195" s="491"/>
      <c r="IT195" s="491"/>
      <c r="IU195" s="491"/>
    </row>
    <row r="196" s="43" customFormat="1" spans="1:255">
      <c r="A196" s="54">
        <v>191</v>
      </c>
      <c r="B196" s="98">
        <v>2745</v>
      </c>
      <c r="C196" s="97" t="s">
        <v>509</v>
      </c>
      <c r="D196" s="97" t="s">
        <v>76</v>
      </c>
      <c r="E196" s="99" t="s">
        <v>2569</v>
      </c>
      <c r="F196" s="190"/>
      <c r="G196" s="99" t="s">
        <v>2683</v>
      </c>
      <c r="H196" s="97" t="s">
        <v>177</v>
      </c>
      <c r="I196" s="102" t="str">
        <f t="shared" si="29"/>
        <v>Budianto, S.Pd</v>
      </c>
      <c r="J196" s="96" t="s">
        <v>127</v>
      </c>
      <c r="K196" s="97" t="s">
        <v>2570</v>
      </c>
      <c r="L196" s="99" t="s">
        <v>2684</v>
      </c>
      <c r="M196" s="443">
        <v>33241</v>
      </c>
      <c r="N196" s="444" t="str">
        <f ca="1" t="shared" si="30"/>
        <v>34 Tahun 10 Bulan </v>
      </c>
      <c r="O196" s="445">
        <v>33241</v>
      </c>
      <c r="P196" s="98">
        <f ca="1" t="shared" si="33"/>
        <v>34</v>
      </c>
      <c r="Q196" s="98" t="str">
        <f ca="1" t="shared" si="34"/>
        <v>OKE</v>
      </c>
      <c r="R196" s="635" t="s">
        <v>2685</v>
      </c>
      <c r="S196" s="190"/>
      <c r="T196" s="190"/>
      <c r="U196" s="97" t="s">
        <v>83</v>
      </c>
      <c r="V196" s="97" t="s">
        <v>84</v>
      </c>
      <c r="W196" s="97" t="s">
        <v>112</v>
      </c>
      <c r="X196" s="190" t="s">
        <v>1052</v>
      </c>
      <c r="Y196" s="636" t="s">
        <v>1480</v>
      </c>
      <c r="Z196" s="190"/>
      <c r="AA196" s="190"/>
      <c r="AB196" s="97" t="s">
        <v>1052</v>
      </c>
      <c r="AC196" s="98">
        <v>77375</v>
      </c>
      <c r="AD196" s="97" t="s">
        <v>1053</v>
      </c>
      <c r="AE196" s="190"/>
      <c r="AF196" s="637" t="s">
        <v>2686</v>
      </c>
      <c r="AG196" s="531" t="s">
        <v>2687</v>
      </c>
      <c r="AH196" s="190"/>
      <c r="AI196" s="190"/>
      <c r="AJ196" s="97" t="s">
        <v>2576</v>
      </c>
      <c r="AK196" s="477" t="s">
        <v>1056</v>
      </c>
      <c r="AL196" s="155" t="str">
        <f ca="1" t="shared" si="36"/>
        <v>11 Tahun 10 Bulan </v>
      </c>
      <c r="AM196" s="476" t="s">
        <v>1238</v>
      </c>
      <c r="AN196" s="476" t="s">
        <v>93</v>
      </c>
      <c r="AO196" s="97" t="s">
        <v>2688</v>
      </c>
      <c r="AP196" s="97" t="s">
        <v>1659</v>
      </c>
      <c r="AQ196" s="97"/>
      <c r="AR196" s="190"/>
      <c r="AS196" s="97"/>
      <c r="AT196" s="190"/>
      <c r="AU196" s="97"/>
      <c r="AV196" s="99" t="s">
        <v>2689</v>
      </c>
      <c r="AW196" s="98" t="s">
        <v>100</v>
      </c>
      <c r="AX196" s="98" t="s">
        <v>101</v>
      </c>
      <c r="AY196" s="99" t="s">
        <v>974</v>
      </c>
      <c r="AZ196" s="190"/>
      <c r="BA196" s="98"/>
      <c r="BB196" s="475" t="s">
        <v>2690</v>
      </c>
      <c r="BC196" s="97" t="s">
        <v>2691</v>
      </c>
      <c r="BD196" s="98">
        <v>14</v>
      </c>
      <c r="BE196" s="98">
        <v>25</v>
      </c>
      <c r="BF196" s="98">
        <v>39</v>
      </c>
      <c r="BG196" s="190"/>
      <c r="BH196" s="96" t="s">
        <v>301</v>
      </c>
      <c r="BI196" s="97" t="s">
        <v>2582</v>
      </c>
      <c r="BJ196" s="99" t="s">
        <v>2683</v>
      </c>
      <c r="BK196" s="638" t="s">
        <v>2692</v>
      </c>
      <c r="BL196" s="499"/>
      <c r="BM196" s="491"/>
      <c r="BN196" s="491"/>
      <c r="BO196" s="491"/>
      <c r="BP196" s="491"/>
      <c r="BQ196" s="491"/>
      <c r="BR196" s="491"/>
      <c r="BS196" s="491"/>
      <c r="BT196" s="491"/>
      <c r="BU196" s="491"/>
      <c r="BV196" s="491"/>
      <c r="BW196" s="491"/>
      <c r="BX196" s="491"/>
      <c r="BY196" s="491"/>
      <c r="BZ196" s="491"/>
      <c r="CA196" s="491"/>
      <c r="CB196" s="491"/>
      <c r="CC196" s="491"/>
      <c r="CD196" s="491"/>
      <c r="CE196" s="491"/>
      <c r="CF196" s="491"/>
      <c r="CG196" s="491"/>
      <c r="CH196" s="491"/>
      <c r="CI196" s="491"/>
      <c r="CJ196" s="491"/>
      <c r="CK196" s="491"/>
      <c r="CL196" s="491"/>
      <c r="CM196" s="491"/>
      <c r="CN196" s="491"/>
      <c r="CO196" s="491"/>
      <c r="CP196" s="491"/>
      <c r="CQ196" s="491"/>
      <c r="CR196" s="491"/>
      <c r="CS196" s="491"/>
      <c r="CT196" s="491"/>
      <c r="CU196" s="491"/>
      <c r="CV196" s="491"/>
      <c r="CW196" s="491"/>
      <c r="CX196" s="491"/>
      <c r="CY196" s="491"/>
      <c r="CZ196" s="491"/>
      <c r="DA196" s="491"/>
      <c r="DB196" s="491"/>
      <c r="DC196" s="491"/>
      <c r="DD196" s="491"/>
      <c r="DE196" s="491"/>
      <c r="DF196" s="491"/>
      <c r="DG196" s="491"/>
      <c r="DH196" s="491"/>
      <c r="DI196" s="491"/>
      <c r="DJ196" s="491"/>
      <c r="DK196" s="491"/>
      <c r="DL196" s="491"/>
      <c r="DM196" s="491"/>
      <c r="DN196" s="491"/>
      <c r="DO196" s="491"/>
      <c r="DP196" s="491"/>
      <c r="DQ196" s="491"/>
      <c r="DR196" s="491"/>
      <c r="DS196" s="491"/>
      <c r="DT196" s="491"/>
      <c r="DU196" s="491"/>
      <c r="DV196" s="491"/>
      <c r="DW196" s="491"/>
      <c r="DX196" s="491"/>
      <c r="DY196" s="491"/>
      <c r="DZ196" s="491"/>
      <c r="EA196" s="491"/>
      <c r="EB196" s="491"/>
      <c r="EC196" s="491"/>
      <c r="ED196" s="491"/>
      <c r="EE196" s="491"/>
      <c r="EF196" s="491"/>
      <c r="EG196" s="491"/>
      <c r="EH196" s="491"/>
      <c r="EI196" s="491"/>
      <c r="EJ196" s="491"/>
      <c r="EK196" s="491"/>
      <c r="EL196" s="491"/>
      <c r="EM196" s="491"/>
      <c r="EN196" s="491"/>
      <c r="EO196" s="491"/>
      <c r="EP196" s="491"/>
      <c r="EQ196" s="491"/>
      <c r="ER196" s="491"/>
      <c r="ES196" s="491"/>
      <c r="ET196" s="491"/>
      <c r="EU196" s="491"/>
      <c r="EV196" s="491"/>
      <c r="EW196" s="491"/>
      <c r="EX196" s="491"/>
      <c r="EY196" s="491"/>
      <c r="EZ196" s="491"/>
      <c r="FA196" s="491"/>
      <c r="FB196" s="491"/>
      <c r="FC196" s="491"/>
      <c r="FD196" s="491"/>
      <c r="FE196" s="491"/>
      <c r="FF196" s="491"/>
      <c r="FG196" s="491"/>
      <c r="FH196" s="491"/>
      <c r="FI196" s="491"/>
      <c r="FJ196" s="491"/>
      <c r="FK196" s="491"/>
      <c r="FL196" s="491"/>
      <c r="FM196" s="491"/>
      <c r="FN196" s="491"/>
      <c r="FO196" s="491"/>
      <c r="FP196" s="491"/>
      <c r="FQ196" s="491"/>
      <c r="FR196" s="491"/>
      <c r="FS196" s="491"/>
      <c r="FT196" s="491"/>
      <c r="FU196" s="491"/>
      <c r="FV196" s="491"/>
      <c r="FW196" s="491"/>
      <c r="FX196" s="491"/>
      <c r="FY196" s="491"/>
      <c r="FZ196" s="491"/>
      <c r="GA196" s="491"/>
      <c r="GB196" s="491"/>
      <c r="GC196" s="491"/>
      <c r="GD196" s="491"/>
      <c r="GE196" s="491"/>
      <c r="GF196" s="491"/>
      <c r="GG196" s="491"/>
      <c r="GH196" s="491"/>
      <c r="GI196" s="491"/>
      <c r="GJ196" s="491"/>
      <c r="GK196" s="491"/>
      <c r="GL196" s="491"/>
      <c r="GM196" s="491"/>
      <c r="GN196" s="491"/>
      <c r="GO196" s="491"/>
      <c r="GP196" s="491"/>
      <c r="GQ196" s="491"/>
      <c r="GR196" s="491"/>
      <c r="GS196" s="491"/>
      <c r="GT196" s="491"/>
      <c r="GU196" s="491"/>
      <c r="GV196" s="491"/>
      <c r="GW196" s="491"/>
      <c r="GX196" s="491"/>
      <c r="GY196" s="491"/>
      <c r="GZ196" s="491"/>
      <c r="HA196" s="491"/>
      <c r="HB196" s="491"/>
      <c r="HC196" s="491"/>
      <c r="HD196" s="491"/>
      <c r="HE196" s="491"/>
      <c r="HF196" s="491"/>
      <c r="HG196" s="491"/>
      <c r="HH196" s="491"/>
      <c r="HI196" s="491"/>
      <c r="HJ196" s="491"/>
      <c r="HK196" s="491"/>
      <c r="HL196" s="491"/>
      <c r="HM196" s="491"/>
      <c r="HN196" s="491"/>
      <c r="HO196" s="491"/>
      <c r="HP196" s="491"/>
      <c r="HQ196" s="491"/>
      <c r="HR196" s="491"/>
      <c r="HS196" s="491"/>
      <c r="HT196" s="491"/>
      <c r="HU196" s="491"/>
      <c r="HV196" s="491"/>
      <c r="HW196" s="491"/>
      <c r="HX196" s="491"/>
      <c r="HY196" s="491"/>
      <c r="HZ196" s="491"/>
      <c r="IA196" s="491"/>
      <c r="IB196" s="491"/>
      <c r="IC196" s="491"/>
      <c r="ID196" s="491"/>
      <c r="IE196" s="491"/>
      <c r="IF196" s="491"/>
      <c r="IG196" s="491"/>
      <c r="IH196" s="491"/>
      <c r="II196" s="491"/>
      <c r="IJ196" s="491"/>
      <c r="IK196" s="491"/>
      <c r="IL196" s="491"/>
      <c r="IM196" s="491"/>
      <c r="IN196" s="491"/>
      <c r="IO196" s="491"/>
      <c r="IP196" s="491"/>
      <c r="IQ196" s="491"/>
      <c r="IR196" s="491"/>
      <c r="IS196" s="491"/>
      <c r="IT196" s="491"/>
      <c r="IU196" s="491"/>
    </row>
    <row r="197" s="43" customFormat="1" spans="1:255">
      <c r="A197" s="54">
        <v>192</v>
      </c>
      <c r="B197" s="98">
        <v>2744</v>
      </c>
      <c r="C197" s="97" t="s">
        <v>509</v>
      </c>
      <c r="D197" s="97" t="s">
        <v>76</v>
      </c>
      <c r="E197" s="99" t="s">
        <v>2569</v>
      </c>
      <c r="F197" s="190"/>
      <c r="G197" s="190" t="s">
        <v>2693</v>
      </c>
      <c r="H197" s="97" t="s">
        <v>177</v>
      </c>
      <c r="I197" s="102" t="str">
        <f t="shared" si="29"/>
        <v>Bahriana, S.Pd</v>
      </c>
      <c r="J197" s="96" t="s">
        <v>80</v>
      </c>
      <c r="K197" s="97" t="str">
        <f t="shared" ref="K197:K198" si="38">IF(J197="P","Perempuan",IF(J197="L","Laki-laki"))</f>
        <v>Perempuan</v>
      </c>
      <c r="L197" s="99" t="s">
        <v>2694</v>
      </c>
      <c r="M197" s="509">
        <v>33722</v>
      </c>
      <c r="N197" s="444" t="str">
        <f ca="1" t="shared" si="30"/>
        <v>33 Tahun 6 Bulan </v>
      </c>
      <c r="O197" s="510">
        <v>33722</v>
      </c>
      <c r="P197" s="98">
        <f ca="1" t="shared" si="33"/>
        <v>33</v>
      </c>
      <c r="Q197" s="98" t="str">
        <f ca="1" t="shared" si="34"/>
        <v>OKE</v>
      </c>
      <c r="R197" s="635" t="s">
        <v>2695</v>
      </c>
      <c r="S197" s="190"/>
      <c r="T197" s="190"/>
      <c r="U197" s="97" t="s">
        <v>83</v>
      </c>
      <c r="V197" s="97" t="s">
        <v>84</v>
      </c>
      <c r="W197" s="97" t="s">
        <v>112</v>
      </c>
      <c r="X197" s="190" t="s">
        <v>2696</v>
      </c>
      <c r="Y197" s="190"/>
      <c r="Z197" s="190"/>
      <c r="AA197" s="190"/>
      <c r="AB197" s="190" t="s">
        <v>2696</v>
      </c>
      <c r="AC197" s="98"/>
      <c r="AD197" s="97" t="s">
        <v>2697</v>
      </c>
      <c r="AE197" s="190"/>
      <c r="AF197" s="637" t="s">
        <v>2698</v>
      </c>
      <c r="AG197" s="531" t="s">
        <v>2699</v>
      </c>
      <c r="AH197" s="190"/>
      <c r="AI197" s="190"/>
      <c r="AJ197" s="97" t="s">
        <v>2576</v>
      </c>
      <c r="AK197" s="532">
        <v>42278</v>
      </c>
      <c r="AL197" s="155" t="str">
        <f ca="1" t="shared" si="36"/>
        <v>10 Tahun 1 Bulan </v>
      </c>
      <c r="AM197" s="476" t="s">
        <v>1238</v>
      </c>
      <c r="AN197" s="476" t="s">
        <v>93</v>
      </c>
      <c r="AO197" s="97" t="s">
        <v>2700</v>
      </c>
      <c r="AP197" s="97" t="s">
        <v>838</v>
      </c>
      <c r="AQ197" s="97" t="s">
        <v>2701</v>
      </c>
      <c r="AR197" s="190"/>
      <c r="AS197" s="97" t="s">
        <v>2702</v>
      </c>
      <c r="AT197" s="190"/>
      <c r="AU197" s="97"/>
      <c r="AV197" s="99"/>
      <c r="AW197" s="98" t="s">
        <v>100</v>
      </c>
      <c r="AX197" s="98" t="s">
        <v>101</v>
      </c>
      <c r="AY197" s="99" t="s">
        <v>589</v>
      </c>
      <c r="AZ197" s="190"/>
      <c r="BA197" s="190"/>
      <c r="BB197" s="475" t="s">
        <v>346</v>
      </c>
      <c r="BC197" s="190" t="s">
        <v>1435</v>
      </c>
      <c r="BD197" s="98">
        <v>2</v>
      </c>
      <c r="BE197" s="98">
        <v>25</v>
      </c>
      <c r="BF197" s="98">
        <v>25</v>
      </c>
      <c r="BG197" s="190"/>
      <c r="BH197" s="96" t="s">
        <v>301</v>
      </c>
      <c r="BI197" s="97" t="s">
        <v>2582</v>
      </c>
      <c r="BJ197" s="190" t="s">
        <v>2693</v>
      </c>
      <c r="BK197" s="638" t="s">
        <v>2703</v>
      </c>
      <c r="BL197" s="499"/>
      <c r="BM197" s="491"/>
      <c r="BN197" s="491"/>
      <c r="BO197" s="491"/>
      <c r="BP197" s="491"/>
      <c r="BQ197" s="491"/>
      <c r="BR197" s="491"/>
      <c r="BS197" s="491"/>
      <c r="BT197" s="491"/>
      <c r="BU197" s="491"/>
      <c r="BV197" s="491"/>
      <c r="BW197" s="491"/>
      <c r="BX197" s="491"/>
      <c r="BY197" s="491"/>
      <c r="BZ197" s="491"/>
      <c r="CA197" s="491"/>
      <c r="CB197" s="491"/>
      <c r="CC197" s="491"/>
      <c r="CD197" s="491"/>
      <c r="CE197" s="491"/>
      <c r="CF197" s="491"/>
      <c r="CG197" s="491"/>
      <c r="CH197" s="491"/>
      <c r="CI197" s="491"/>
      <c r="CJ197" s="491"/>
      <c r="CK197" s="491"/>
      <c r="CL197" s="491"/>
      <c r="CM197" s="491"/>
      <c r="CN197" s="491"/>
      <c r="CO197" s="491"/>
      <c r="CP197" s="491"/>
      <c r="CQ197" s="491"/>
      <c r="CR197" s="491"/>
      <c r="CS197" s="491"/>
      <c r="CT197" s="491"/>
      <c r="CU197" s="491"/>
      <c r="CV197" s="491"/>
      <c r="CW197" s="491"/>
      <c r="CX197" s="491"/>
      <c r="CY197" s="491"/>
      <c r="CZ197" s="491"/>
      <c r="DA197" s="491"/>
      <c r="DB197" s="491"/>
      <c r="DC197" s="491"/>
      <c r="DD197" s="491"/>
      <c r="DE197" s="491"/>
      <c r="DF197" s="491"/>
      <c r="DG197" s="491"/>
      <c r="DH197" s="491"/>
      <c r="DI197" s="491"/>
      <c r="DJ197" s="491"/>
      <c r="DK197" s="491"/>
      <c r="DL197" s="491"/>
      <c r="DM197" s="491"/>
      <c r="DN197" s="491"/>
      <c r="DO197" s="491"/>
      <c r="DP197" s="491"/>
      <c r="DQ197" s="491"/>
      <c r="DR197" s="491"/>
      <c r="DS197" s="491"/>
      <c r="DT197" s="491"/>
      <c r="DU197" s="491"/>
      <c r="DV197" s="491"/>
      <c r="DW197" s="491"/>
      <c r="DX197" s="491"/>
      <c r="DY197" s="491"/>
      <c r="DZ197" s="491"/>
      <c r="EA197" s="491"/>
      <c r="EB197" s="491"/>
      <c r="EC197" s="491"/>
      <c r="ED197" s="491"/>
      <c r="EE197" s="491"/>
      <c r="EF197" s="491"/>
      <c r="EG197" s="491"/>
      <c r="EH197" s="491"/>
      <c r="EI197" s="491"/>
      <c r="EJ197" s="491"/>
      <c r="EK197" s="491"/>
      <c r="EL197" s="491"/>
      <c r="EM197" s="491"/>
      <c r="EN197" s="491"/>
      <c r="EO197" s="491"/>
      <c r="EP197" s="491"/>
      <c r="EQ197" s="491"/>
      <c r="ER197" s="491"/>
      <c r="ES197" s="491"/>
      <c r="ET197" s="491"/>
      <c r="EU197" s="491"/>
      <c r="EV197" s="491"/>
      <c r="EW197" s="491"/>
      <c r="EX197" s="491"/>
      <c r="EY197" s="491"/>
      <c r="EZ197" s="491"/>
      <c r="FA197" s="491"/>
      <c r="FB197" s="491"/>
      <c r="FC197" s="491"/>
      <c r="FD197" s="491"/>
      <c r="FE197" s="491"/>
      <c r="FF197" s="491"/>
      <c r="FG197" s="491"/>
      <c r="FH197" s="491"/>
      <c r="FI197" s="491"/>
      <c r="FJ197" s="491"/>
      <c r="FK197" s="491"/>
      <c r="FL197" s="491"/>
      <c r="FM197" s="491"/>
      <c r="FN197" s="491"/>
      <c r="FO197" s="491"/>
      <c r="FP197" s="491"/>
      <c r="FQ197" s="491"/>
      <c r="FR197" s="491"/>
      <c r="FS197" s="491"/>
      <c r="FT197" s="491"/>
      <c r="FU197" s="491"/>
      <c r="FV197" s="491"/>
      <c r="FW197" s="491"/>
      <c r="FX197" s="491"/>
      <c r="FY197" s="491"/>
      <c r="FZ197" s="491"/>
      <c r="GA197" s="491"/>
      <c r="GB197" s="491"/>
      <c r="GC197" s="491"/>
      <c r="GD197" s="491"/>
      <c r="GE197" s="491"/>
      <c r="GF197" s="491"/>
      <c r="GG197" s="491"/>
      <c r="GH197" s="491"/>
      <c r="GI197" s="491"/>
      <c r="GJ197" s="491"/>
      <c r="GK197" s="491"/>
      <c r="GL197" s="491"/>
      <c r="GM197" s="491"/>
      <c r="GN197" s="491"/>
      <c r="GO197" s="491"/>
      <c r="GP197" s="491"/>
      <c r="GQ197" s="491"/>
      <c r="GR197" s="491"/>
      <c r="GS197" s="491"/>
      <c r="GT197" s="491"/>
      <c r="GU197" s="491"/>
      <c r="GV197" s="491"/>
      <c r="GW197" s="491"/>
      <c r="GX197" s="491"/>
      <c r="GY197" s="491"/>
      <c r="GZ197" s="491"/>
      <c r="HA197" s="491"/>
      <c r="HB197" s="491"/>
      <c r="HC197" s="491"/>
      <c r="HD197" s="491"/>
      <c r="HE197" s="491"/>
      <c r="HF197" s="491"/>
      <c r="HG197" s="491"/>
      <c r="HH197" s="491"/>
      <c r="HI197" s="491"/>
      <c r="HJ197" s="491"/>
      <c r="HK197" s="491"/>
      <c r="HL197" s="491"/>
      <c r="HM197" s="491"/>
      <c r="HN197" s="491"/>
      <c r="HO197" s="491"/>
      <c r="HP197" s="491"/>
      <c r="HQ197" s="491"/>
      <c r="HR197" s="491"/>
      <c r="HS197" s="491"/>
      <c r="HT197" s="491"/>
      <c r="HU197" s="491"/>
      <c r="HV197" s="491"/>
      <c r="HW197" s="491"/>
      <c r="HX197" s="491"/>
      <c r="HY197" s="491"/>
      <c r="HZ197" s="491"/>
      <c r="IA197" s="491"/>
      <c r="IB197" s="491"/>
      <c r="IC197" s="491"/>
      <c r="ID197" s="491"/>
      <c r="IE197" s="491"/>
      <c r="IF197" s="491"/>
      <c r="IG197" s="491"/>
      <c r="IH197" s="491"/>
      <c r="II197" s="491"/>
      <c r="IJ197" s="491"/>
      <c r="IK197" s="491"/>
      <c r="IL197" s="491"/>
      <c r="IM197" s="491"/>
      <c r="IN197" s="491"/>
      <c r="IO197" s="491"/>
      <c r="IP197" s="491"/>
      <c r="IQ197" s="491"/>
      <c r="IR197" s="491"/>
      <c r="IS197" s="491"/>
      <c r="IT197" s="491"/>
      <c r="IU197" s="491"/>
    </row>
    <row r="198" s="43" customFormat="1" ht="26" spans="1:255">
      <c r="A198" s="54">
        <v>193</v>
      </c>
      <c r="B198" s="98">
        <v>2754</v>
      </c>
      <c r="C198" s="97" t="s">
        <v>509</v>
      </c>
      <c r="D198" s="97" t="s">
        <v>76</v>
      </c>
      <c r="E198" s="99" t="s">
        <v>2569</v>
      </c>
      <c r="F198" s="190"/>
      <c r="G198" s="190" t="s">
        <v>2704</v>
      </c>
      <c r="H198" s="97" t="s">
        <v>177</v>
      </c>
      <c r="I198" s="102" t="str">
        <f t="shared" ref="I198:I215" si="39">IF(H198&lt;&gt;"",G198&amp;", "&amp;H198,G198)</f>
        <v>Suhaimi, S.Pd</v>
      </c>
      <c r="J198" s="96" t="s">
        <v>80</v>
      </c>
      <c r="K198" s="97" t="str">
        <f t="shared" si="38"/>
        <v>Perempuan</v>
      </c>
      <c r="L198" s="97" t="s">
        <v>2705</v>
      </c>
      <c r="M198" s="509">
        <v>33453</v>
      </c>
      <c r="N198" s="444" t="str">
        <f ca="1" t="shared" ref="N198:N215" si="40">+DATEDIF(M198,NOW(),"Y")&amp;" Tahun "&amp;+DATEDIF(M198,NOW(),"YM")&amp;" Bulan "</f>
        <v>34 Tahun 3 Bulan </v>
      </c>
      <c r="O198" s="510">
        <v>33453</v>
      </c>
      <c r="P198" s="98">
        <f ca="1" t="shared" si="33"/>
        <v>34</v>
      </c>
      <c r="Q198" s="98" t="str">
        <f ca="1" t="shared" si="34"/>
        <v>OKE</v>
      </c>
      <c r="R198" s="635" t="s">
        <v>2706</v>
      </c>
      <c r="S198" s="190"/>
      <c r="T198" s="190"/>
      <c r="U198" s="97" t="s">
        <v>83</v>
      </c>
      <c r="V198" s="97" t="s">
        <v>84</v>
      </c>
      <c r="W198" s="97" t="s">
        <v>112</v>
      </c>
      <c r="X198" s="190" t="s">
        <v>2585</v>
      </c>
      <c r="Y198" s="636" t="s">
        <v>1399</v>
      </c>
      <c r="Z198" s="190"/>
      <c r="AA198" s="190"/>
      <c r="AB198" s="97" t="s">
        <v>2585</v>
      </c>
      <c r="AC198" s="98">
        <v>77375</v>
      </c>
      <c r="AD198" s="97" t="s">
        <v>1053</v>
      </c>
      <c r="AE198" s="190"/>
      <c r="AF198" s="637" t="s">
        <v>2707</v>
      </c>
      <c r="AG198" s="478" t="s">
        <v>2708</v>
      </c>
      <c r="AH198" s="190"/>
      <c r="AI198" s="190"/>
      <c r="AJ198" s="97" t="s">
        <v>2709</v>
      </c>
      <c r="AK198" s="532">
        <v>41913</v>
      </c>
      <c r="AL198" s="155" t="str">
        <f ca="1" t="shared" si="36"/>
        <v>11 Tahun 1 Bulan </v>
      </c>
      <c r="AM198" s="476" t="s">
        <v>1238</v>
      </c>
      <c r="AN198" s="476" t="s">
        <v>93</v>
      </c>
      <c r="AO198" s="97" t="s">
        <v>2710</v>
      </c>
      <c r="AP198" s="97" t="s">
        <v>1659</v>
      </c>
      <c r="AQ198" s="97"/>
      <c r="AR198" s="190"/>
      <c r="AS198" s="97"/>
      <c r="AT198" s="190"/>
      <c r="AU198" s="97"/>
      <c r="AV198" s="99"/>
      <c r="AW198" s="98" t="s">
        <v>100</v>
      </c>
      <c r="AX198" s="98" t="s">
        <v>101</v>
      </c>
      <c r="AY198" s="99" t="s">
        <v>2711</v>
      </c>
      <c r="AZ198" s="190"/>
      <c r="BA198" s="190"/>
      <c r="BB198" s="475" t="s">
        <v>2712</v>
      </c>
      <c r="BC198" s="190" t="s">
        <v>313</v>
      </c>
      <c r="BD198" s="98">
        <v>6</v>
      </c>
      <c r="BE198" s="98">
        <v>20</v>
      </c>
      <c r="BF198" s="98">
        <v>26</v>
      </c>
      <c r="BG198" s="190"/>
      <c r="BH198" s="96" t="s">
        <v>301</v>
      </c>
      <c r="BI198" s="97" t="s">
        <v>2713</v>
      </c>
      <c r="BJ198" s="190" t="s">
        <v>2704</v>
      </c>
      <c r="BK198" s="638" t="s">
        <v>2714</v>
      </c>
      <c r="BL198" s="499"/>
      <c r="BM198" s="491"/>
      <c r="BN198" s="491"/>
      <c r="BO198" s="491"/>
      <c r="BP198" s="491"/>
      <c r="BQ198" s="491"/>
      <c r="BR198" s="491"/>
      <c r="BS198" s="491"/>
      <c r="BT198" s="491"/>
      <c r="BU198" s="491"/>
      <c r="BV198" s="491"/>
      <c r="BW198" s="491"/>
      <c r="BX198" s="491"/>
      <c r="BY198" s="491"/>
      <c r="BZ198" s="491"/>
      <c r="CA198" s="491"/>
      <c r="CB198" s="491"/>
      <c r="CC198" s="491"/>
      <c r="CD198" s="491"/>
      <c r="CE198" s="491"/>
      <c r="CF198" s="491"/>
      <c r="CG198" s="491"/>
      <c r="CH198" s="491"/>
      <c r="CI198" s="491"/>
      <c r="CJ198" s="491"/>
      <c r="CK198" s="491"/>
      <c r="CL198" s="491"/>
      <c r="CM198" s="491"/>
      <c r="CN198" s="491"/>
      <c r="CO198" s="491"/>
      <c r="CP198" s="491"/>
      <c r="CQ198" s="491"/>
      <c r="CR198" s="491"/>
      <c r="CS198" s="491"/>
      <c r="CT198" s="491"/>
      <c r="CU198" s="491"/>
      <c r="CV198" s="491"/>
      <c r="CW198" s="491"/>
      <c r="CX198" s="491"/>
      <c r="CY198" s="491"/>
      <c r="CZ198" s="491"/>
      <c r="DA198" s="491"/>
      <c r="DB198" s="491"/>
      <c r="DC198" s="491"/>
      <c r="DD198" s="491"/>
      <c r="DE198" s="491"/>
      <c r="DF198" s="491"/>
      <c r="DG198" s="491"/>
      <c r="DH198" s="491"/>
      <c r="DI198" s="491"/>
      <c r="DJ198" s="491"/>
      <c r="DK198" s="491"/>
      <c r="DL198" s="491"/>
      <c r="DM198" s="491"/>
      <c r="DN198" s="491"/>
      <c r="DO198" s="491"/>
      <c r="DP198" s="491"/>
      <c r="DQ198" s="491"/>
      <c r="DR198" s="491"/>
      <c r="DS198" s="491"/>
      <c r="DT198" s="491"/>
      <c r="DU198" s="491"/>
      <c r="DV198" s="491"/>
      <c r="DW198" s="491"/>
      <c r="DX198" s="491"/>
      <c r="DY198" s="491"/>
      <c r="DZ198" s="491"/>
      <c r="EA198" s="491"/>
      <c r="EB198" s="491"/>
      <c r="EC198" s="491"/>
      <c r="ED198" s="491"/>
      <c r="EE198" s="491"/>
      <c r="EF198" s="491"/>
      <c r="EG198" s="491"/>
      <c r="EH198" s="491"/>
      <c r="EI198" s="491"/>
      <c r="EJ198" s="491"/>
      <c r="EK198" s="491"/>
      <c r="EL198" s="491"/>
      <c r="EM198" s="491"/>
      <c r="EN198" s="491"/>
      <c r="EO198" s="491"/>
      <c r="EP198" s="491"/>
      <c r="EQ198" s="491"/>
      <c r="ER198" s="491"/>
      <c r="ES198" s="491"/>
      <c r="ET198" s="491"/>
      <c r="EU198" s="491"/>
      <c r="EV198" s="491"/>
      <c r="EW198" s="491"/>
      <c r="EX198" s="491"/>
      <c r="EY198" s="491"/>
      <c r="EZ198" s="491"/>
      <c r="FA198" s="491"/>
      <c r="FB198" s="491"/>
      <c r="FC198" s="491"/>
      <c r="FD198" s="491"/>
      <c r="FE198" s="491"/>
      <c r="FF198" s="491"/>
      <c r="FG198" s="491"/>
      <c r="FH198" s="491"/>
      <c r="FI198" s="491"/>
      <c r="FJ198" s="491"/>
      <c r="FK198" s="491"/>
      <c r="FL198" s="491"/>
      <c r="FM198" s="491"/>
      <c r="FN198" s="491"/>
      <c r="FO198" s="491"/>
      <c r="FP198" s="491"/>
      <c r="FQ198" s="491"/>
      <c r="FR198" s="491"/>
      <c r="FS198" s="491"/>
      <c r="FT198" s="491"/>
      <c r="FU198" s="491"/>
      <c r="FV198" s="491"/>
      <c r="FW198" s="491"/>
      <c r="FX198" s="491"/>
      <c r="FY198" s="491"/>
      <c r="FZ198" s="491"/>
      <c r="GA198" s="491"/>
      <c r="GB198" s="491"/>
      <c r="GC198" s="491"/>
      <c r="GD198" s="491"/>
      <c r="GE198" s="491"/>
      <c r="GF198" s="491"/>
      <c r="GG198" s="491"/>
      <c r="GH198" s="491"/>
      <c r="GI198" s="491"/>
      <c r="GJ198" s="491"/>
      <c r="GK198" s="491"/>
      <c r="GL198" s="491"/>
      <c r="GM198" s="491"/>
      <c r="GN198" s="491"/>
      <c r="GO198" s="491"/>
      <c r="GP198" s="491"/>
      <c r="GQ198" s="491"/>
      <c r="GR198" s="491"/>
      <c r="GS198" s="491"/>
      <c r="GT198" s="491"/>
      <c r="GU198" s="491"/>
      <c r="GV198" s="491"/>
      <c r="GW198" s="491"/>
      <c r="GX198" s="491"/>
      <c r="GY198" s="491"/>
      <c r="GZ198" s="491"/>
      <c r="HA198" s="491"/>
      <c r="HB198" s="491"/>
      <c r="HC198" s="491"/>
      <c r="HD198" s="491"/>
      <c r="HE198" s="491"/>
      <c r="HF198" s="491"/>
      <c r="HG198" s="491"/>
      <c r="HH198" s="491"/>
      <c r="HI198" s="491"/>
      <c r="HJ198" s="491"/>
      <c r="HK198" s="491"/>
      <c r="HL198" s="491"/>
      <c r="HM198" s="491"/>
      <c r="HN198" s="491"/>
      <c r="HO198" s="491"/>
      <c r="HP198" s="491"/>
      <c r="HQ198" s="491"/>
      <c r="HR198" s="491"/>
      <c r="HS198" s="491"/>
      <c r="HT198" s="491"/>
      <c r="HU198" s="491"/>
      <c r="HV198" s="491"/>
      <c r="HW198" s="491"/>
      <c r="HX198" s="491"/>
      <c r="HY198" s="491"/>
      <c r="HZ198" s="491"/>
      <c r="IA198" s="491"/>
      <c r="IB198" s="491"/>
      <c r="IC198" s="491"/>
      <c r="ID198" s="491"/>
      <c r="IE198" s="491"/>
      <c r="IF198" s="491"/>
      <c r="IG198" s="491"/>
      <c r="IH198" s="491"/>
      <c r="II198" s="491"/>
      <c r="IJ198" s="491"/>
      <c r="IK198" s="491"/>
      <c r="IL198" s="491"/>
      <c r="IM198" s="491"/>
      <c r="IN198" s="491"/>
      <c r="IO198" s="491"/>
      <c r="IP198" s="491"/>
      <c r="IQ198" s="491"/>
      <c r="IR198" s="491"/>
      <c r="IS198" s="491"/>
      <c r="IT198" s="491"/>
      <c r="IU198" s="491"/>
    </row>
    <row r="199" s="43" customFormat="1" spans="1:255">
      <c r="A199" s="54">
        <v>194</v>
      </c>
      <c r="B199" s="98">
        <v>2758</v>
      </c>
      <c r="C199" s="97" t="s">
        <v>509</v>
      </c>
      <c r="D199" s="97" t="s">
        <v>76</v>
      </c>
      <c r="E199" s="99" t="s">
        <v>2569</v>
      </c>
      <c r="F199" s="190"/>
      <c r="G199" s="502" t="s">
        <v>2715</v>
      </c>
      <c r="H199" s="97"/>
      <c r="I199" s="102" t="str">
        <f t="shared" si="39"/>
        <v>Zubair</v>
      </c>
      <c r="J199" s="96" t="s">
        <v>127</v>
      </c>
      <c r="K199" s="97" t="s">
        <v>2570</v>
      </c>
      <c r="L199" s="99" t="s">
        <v>2716</v>
      </c>
      <c r="M199" s="511">
        <v>30765</v>
      </c>
      <c r="N199" s="444" t="str">
        <f ca="1" t="shared" si="40"/>
        <v>41 Tahun 7 Bulan </v>
      </c>
      <c r="O199" s="512">
        <v>30765</v>
      </c>
      <c r="P199" s="98">
        <f ca="1" t="shared" si="33"/>
        <v>41</v>
      </c>
      <c r="Q199" s="98" t="str">
        <f ca="1" t="shared" si="34"/>
        <v>OKE</v>
      </c>
      <c r="R199" s="635" t="s">
        <v>2717</v>
      </c>
      <c r="S199" s="190"/>
      <c r="T199" s="190"/>
      <c r="U199" s="97" t="s">
        <v>129</v>
      </c>
      <c r="V199" s="97" t="s">
        <v>84</v>
      </c>
      <c r="W199" s="97" t="s">
        <v>112</v>
      </c>
      <c r="X199" s="190" t="s">
        <v>2718</v>
      </c>
      <c r="Y199" s="636" t="s">
        <v>1496</v>
      </c>
      <c r="Z199" s="190"/>
      <c r="AA199" s="190"/>
      <c r="AB199" s="97" t="s">
        <v>2718</v>
      </c>
      <c r="AC199" s="98">
        <v>77375</v>
      </c>
      <c r="AD199" s="97" t="s">
        <v>1053</v>
      </c>
      <c r="AE199" s="190"/>
      <c r="AF199" s="637" t="s">
        <v>2719</v>
      </c>
      <c r="AG199" s="478" t="s">
        <v>2720</v>
      </c>
      <c r="AH199" s="190"/>
      <c r="AI199" s="190"/>
      <c r="AJ199" s="97" t="s">
        <v>2576</v>
      </c>
      <c r="AK199" s="477" t="s">
        <v>1056</v>
      </c>
      <c r="AL199" s="155" t="str">
        <f ca="1" t="shared" si="36"/>
        <v>11 Tahun 10 Bulan </v>
      </c>
      <c r="AM199" s="476" t="s">
        <v>1238</v>
      </c>
      <c r="AN199" s="476" t="s">
        <v>93</v>
      </c>
      <c r="AO199" s="97" t="s">
        <v>2721</v>
      </c>
      <c r="AP199" s="97" t="s">
        <v>838</v>
      </c>
      <c r="AQ199" s="97" t="s">
        <v>2722</v>
      </c>
      <c r="AR199" s="190"/>
      <c r="AS199" s="97" t="s">
        <v>2723</v>
      </c>
      <c r="AT199" s="190"/>
      <c r="AU199" s="97"/>
      <c r="AV199" s="99" t="s">
        <v>2724</v>
      </c>
      <c r="AW199" s="98" t="s">
        <v>100</v>
      </c>
      <c r="AX199" s="98" t="s">
        <v>120</v>
      </c>
      <c r="AY199" s="99"/>
      <c r="AZ199" s="190"/>
      <c r="BA199" s="190"/>
      <c r="BB199" s="97"/>
      <c r="BC199" s="190"/>
      <c r="BD199" s="190"/>
      <c r="BE199" s="190"/>
      <c r="BF199" s="98"/>
      <c r="BG199" s="190"/>
      <c r="BH199" s="96" t="s">
        <v>301</v>
      </c>
      <c r="BI199" s="97" t="s">
        <v>2582</v>
      </c>
      <c r="BJ199" s="502" t="s">
        <v>2715</v>
      </c>
      <c r="BK199" s="638" t="s">
        <v>2725</v>
      </c>
      <c r="BL199" s="499"/>
      <c r="BM199" s="491"/>
      <c r="BN199" s="491"/>
      <c r="BO199" s="491"/>
      <c r="BP199" s="491"/>
      <c r="BQ199" s="491"/>
      <c r="BR199" s="491"/>
      <c r="BS199" s="491"/>
      <c r="BT199" s="491"/>
      <c r="BU199" s="491"/>
      <c r="BV199" s="491"/>
      <c r="BW199" s="491"/>
      <c r="BX199" s="491"/>
      <c r="BY199" s="491"/>
      <c r="BZ199" s="491"/>
      <c r="CA199" s="491"/>
      <c r="CB199" s="491"/>
      <c r="CC199" s="491"/>
      <c r="CD199" s="491"/>
      <c r="CE199" s="491"/>
      <c r="CF199" s="491"/>
      <c r="CG199" s="491"/>
      <c r="CH199" s="491"/>
      <c r="CI199" s="491"/>
      <c r="CJ199" s="491"/>
      <c r="CK199" s="491"/>
      <c r="CL199" s="491"/>
      <c r="CM199" s="491"/>
      <c r="CN199" s="491"/>
      <c r="CO199" s="491"/>
      <c r="CP199" s="491"/>
      <c r="CQ199" s="491"/>
      <c r="CR199" s="491"/>
      <c r="CS199" s="491"/>
      <c r="CT199" s="491"/>
      <c r="CU199" s="491"/>
      <c r="CV199" s="491"/>
      <c r="CW199" s="491"/>
      <c r="CX199" s="491"/>
      <c r="CY199" s="491"/>
      <c r="CZ199" s="491"/>
      <c r="DA199" s="491"/>
      <c r="DB199" s="491"/>
      <c r="DC199" s="491"/>
      <c r="DD199" s="491"/>
      <c r="DE199" s="491"/>
      <c r="DF199" s="491"/>
      <c r="DG199" s="491"/>
      <c r="DH199" s="491"/>
      <c r="DI199" s="491"/>
      <c r="DJ199" s="491"/>
      <c r="DK199" s="491"/>
      <c r="DL199" s="491"/>
      <c r="DM199" s="491"/>
      <c r="DN199" s="491"/>
      <c r="DO199" s="491"/>
      <c r="DP199" s="491"/>
      <c r="DQ199" s="491"/>
      <c r="DR199" s="491"/>
      <c r="DS199" s="491"/>
      <c r="DT199" s="491"/>
      <c r="DU199" s="491"/>
      <c r="DV199" s="491"/>
      <c r="DW199" s="491"/>
      <c r="DX199" s="491"/>
      <c r="DY199" s="491"/>
      <c r="DZ199" s="491"/>
      <c r="EA199" s="491"/>
      <c r="EB199" s="491"/>
      <c r="EC199" s="491"/>
      <c r="ED199" s="491"/>
      <c r="EE199" s="491"/>
      <c r="EF199" s="491"/>
      <c r="EG199" s="491"/>
      <c r="EH199" s="491"/>
      <c r="EI199" s="491"/>
      <c r="EJ199" s="491"/>
      <c r="EK199" s="491"/>
      <c r="EL199" s="491"/>
      <c r="EM199" s="491"/>
      <c r="EN199" s="491"/>
      <c r="EO199" s="491"/>
      <c r="EP199" s="491"/>
      <c r="EQ199" s="491"/>
      <c r="ER199" s="491"/>
      <c r="ES199" s="491"/>
      <c r="ET199" s="491"/>
      <c r="EU199" s="491"/>
      <c r="EV199" s="491"/>
      <c r="EW199" s="491"/>
      <c r="EX199" s="491"/>
      <c r="EY199" s="491"/>
      <c r="EZ199" s="491"/>
      <c r="FA199" s="491"/>
      <c r="FB199" s="491"/>
      <c r="FC199" s="491"/>
      <c r="FD199" s="491"/>
      <c r="FE199" s="491"/>
      <c r="FF199" s="491"/>
      <c r="FG199" s="491"/>
      <c r="FH199" s="491"/>
      <c r="FI199" s="491"/>
      <c r="FJ199" s="491"/>
      <c r="FK199" s="491"/>
      <c r="FL199" s="491"/>
      <c r="FM199" s="491"/>
      <c r="FN199" s="491"/>
      <c r="FO199" s="491"/>
      <c r="FP199" s="491"/>
      <c r="FQ199" s="491"/>
      <c r="FR199" s="491"/>
      <c r="FS199" s="491"/>
      <c r="FT199" s="491"/>
      <c r="FU199" s="491"/>
      <c r="FV199" s="491"/>
      <c r="FW199" s="491"/>
      <c r="FX199" s="491"/>
      <c r="FY199" s="491"/>
      <c r="FZ199" s="491"/>
      <c r="GA199" s="491"/>
      <c r="GB199" s="491"/>
      <c r="GC199" s="491"/>
      <c r="GD199" s="491"/>
      <c r="GE199" s="491"/>
      <c r="GF199" s="491"/>
      <c r="GG199" s="491"/>
      <c r="GH199" s="491"/>
      <c r="GI199" s="491"/>
      <c r="GJ199" s="491"/>
      <c r="GK199" s="491"/>
      <c r="GL199" s="491"/>
      <c r="GM199" s="491"/>
      <c r="GN199" s="491"/>
      <c r="GO199" s="491"/>
      <c r="GP199" s="491"/>
      <c r="GQ199" s="491"/>
      <c r="GR199" s="491"/>
      <c r="GS199" s="491"/>
      <c r="GT199" s="491"/>
      <c r="GU199" s="491"/>
      <c r="GV199" s="491"/>
      <c r="GW199" s="491"/>
      <c r="GX199" s="491"/>
      <c r="GY199" s="491"/>
      <c r="GZ199" s="491"/>
      <c r="HA199" s="491"/>
      <c r="HB199" s="491"/>
      <c r="HC199" s="491"/>
      <c r="HD199" s="491"/>
      <c r="HE199" s="491"/>
      <c r="HF199" s="491"/>
      <c r="HG199" s="491"/>
      <c r="HH199" s="491"/>
      <c r="HI199" s="491"/>
      <c r="HJ199" s="491"/>
      <c r="HK199" s="491"/>
      <c r="HL199" s="491"/>
      <c r="HM199" s="491"/>
      <c r="HN199" s="491"/>
      <c r="HO199" s="491"/>
      <c r="HP199" s="491"/>
      <c r="HQ199" s="491"/>
      <c r="HR199" s="491"/>
      <c r="HS199" s="491"/>
      <c r="HT199" s="491"/>
      <c r="HU199" s="491"/>
      <c r="HV199" s="491"/>
      <c r="HW199" s="491"/>
      <c r="HX199" s="491"/>
      <c r="HY199" s="491"/>
      <c r="HZ199" s="491"/>
      <c r="IA199" s="491"/>
      <c r="IB199" s="491"/>
      <c r="IC199" s="491"/>
      <c r="ID199" s="491"/>
      <c r="IE199" s="491"/>
      <c r="IF199" s="491"/>
      <c r="IG199" s="491"/>
      <c r="IH199" s="491"/>
      <c r="II199" s="491"/>
      <c r="IJ199" s="491"/>
      <c r="IK199" s="491"/>
      <c r="IL199" s="491"/>
      <c r="IM199" s="491"/>
      <c r="IN199" s="491"/>
      <c r="IO199" s="491"/>
      <c r="IP199" s="491"/>
      <c r="IQ199" s="491"/>
      <c r="IR199" s="491"/>
      <c r="IS199" s="491"/>
      <c r="IT199" s="491"/>
      <c r="IU199" s="491"/>
    </row>
    <row r="200" s="43" customFormat="1" spans="1:255">
      <c r="A200" s="54">
        <v>195</v>
      </c>
      <c r="B200" s="98">
        <v>2757</v>
      </c>
      <c r="C200" s="97" t="s">
        <v>509</v>
      </c>
      <c r="D200" s="97" t="s">
        <v>76</v>
      </c>
      <c r="E200" s="99" t="s">
        <v>2569</v>
      </c>
      <c r="F200" s="190"/>
      <c r="G200" s="503" t="s">
        <v>2726</v>
      </c>
      <c r="H200" s="97"/>
      <c r="I200" s="102" t="str">
        <f t="shared" si="39"/>
        <v>Masdalena</v>
      </c>
      <c r="J200" s="96" t="s">
        <v>80</v>
      </c>
      <c r="K200" s="97" t="str">
        <f>IF(J200="P","Perempuan",IF(J200="L","Laki-laki"))</f>
        <v>Perempuan</v>
      </c>
      <c r="L200" s="99" t="s">
        <v>1780</v>
      </c>
      <c r="M200" s="511">
        <v>32964</v>
      </c>
      <c r="N200" s="444" t="str">
        <f ca="1" t="shared" si="40"/>
        <v>35 Tahun 7 Bulan </v>
      </c>
      <c r="O200" s="512">
        <v>32964</v>
      </c>
      <c r="P200" s="98">
        <f ca="1" t="shared" si="33"/>
        <v>35</v>
      </c>
      <c r="Q200" s="98" t="str">
        <f ca="1" t="shared" si="34"/>
        <v>OKE</v>
      </c>
      <c r="R200" s="99"/>
      <c r="S200" s="190"/>
      <c r="T200" s="190"/>
      <c r="U200" s="97" t="s">
        <v>129</v>
      </c>
      <c r="V200" s="97" t="s">
        <v>84</v>
      </c>
      <c r="W200" s="97" t="s">
        <v>112</v>
      </c>
      <c r="X200" s="190" t="s">
        <v>1060</v>
      </c>
      <c r="Y200" s="190"/>
      <c r="Z200" s="190"/>
      <c r="AA200" s="190"/>
      <c r="AB200" s="97" t="s">
        <v>1060</v>
      </c>
      <c r="AC200" s="98"/>
      <c r="AD200" s="97" t="s">
        <v>1060</v>
      </c>
      <c r="AE200" s="190"/>
      <c r="AF200" s="637" t="s">
        <v>2727</v>
      </c>
      <c r="AG200" s="475"/>
      <c r="AH200" s="190"/>
      <c r="AI200" s="190"/>
      <c r="AJ200" s="97" t="s">
        <v>2576</v>
      </c>
      <c r="AK200" s="477" t="s">
        <v>1056</v>
      </c>
      <c r="AL200" s="155" t="str">
        <f ca="1" t="shared" si="36"/>
        <v>11 Tahun 10 Bulan </v>
      </c>
      <c r="AM200" s="476" t="s">
        <v>1238</v>
      </c>
      <c r="AN200" s="476" t="s">
        <v>93</v>
      </c>
      <c r="AO200" s="97" t="s">
        <v>2728</v>
      </c>
      <c r="AP200" s="97" t="s">
        <v>838</v>
      </c>
      <c r="AQ200" s="97" t="s">
        <v>2729</v>
      </c>
      <c r="AR200" s="190"/>
      <c r="AS200" s="97" t="s">
        <v>2076</v>
      </c>
      <c r="AT200" s="190"/>
      <c r="AU200" s="97"/>
      <c r="AV200" s="99" t="s">
        <v>2730</v>
      </c>
      <c r="AW200" s="98" t="s">
        <v>100</v>
      </c>
      <c r="AX200" s="98" t="s">
        <v>120</v>
      </c>
      <c r="AY200" s="99"/>
      <c r="AZ200" s="190"/>
      <c r="BA200" s="190"/>
      <c r="BB200" s="97"/>
      <c r="BC200" s="190"/>
      <c r="BD200" s="190"/>
      <c r="BE200" s="190"/>
      <c r="BF200" s="98"/>
      <c r="BG200" s="190"/>
      <c r="BH200" s="96" t="s">
        <v>301</v>
      </c>
      <c r="BI200" s="97" t="s">
        <v>2582</v>
      </c>
      <c r="BJ200" s="503" t="s">
        <v>2726</v>
      </c>
      <c r="BK200" s="638" t="s">
        <v>2731</v>
      </c>
      <c r="BL200" s="499"/>
      <c r="BM200" s="491"/>
      <c r="BN200" s="491"/>
      <c r="BO200" s="491"/>
      <c r="BP200" s="491"/>
      <c r="BQ200" s="491"/>
      <c r="BR200" s="491"/>
      <c r="BS200" s="491"/>
      <c r="BT200" s="491"/>
      <c r="BU200" s="491"/>
      <c r="BV200" s="491"/>
      <c r="BW200" s="491"/>
      <c r="BX200" s="491"/>
      <c r="BY200" s="491"/>
      <c r="BZ200" s="491"/>
      <c r="CA200" s="491"/>
      <c r="CB200" s="491"/>
      <c r="CC200" s="491"/>
      <c r="CD200" s="491"/>
      <c r="CE200" s="491"/>
      <c r="CF200" s="491"/>
      <c r="CG200" s="491"/>
      <c r="CH200" s="491"/>
      <c r="CI200" s="491"/>
      <c r="CJ200" s="491"/>
      <c r="CK200" s="491"/>
      <c r="CL200" s="491"/>
      <c r="CM200" s="491"/>
      <c r="CN200" s="491"/>
      <c r="CO200" s="491"/>
      <c r="CP200" s="491"/>
      <c r="CQ200" s="491"/>
      <c r="CR200" s="491"/>
      <c r="CS200" s="491"/>
      <c r="CT200" s="491"/>
      <c r="CU200" s="491"/>
      <c r="CV200" s="491"/>
      <c r="CW200" s="491"/>
      <c r="CX200" s="491"/>
      <c r="CY200" s="491"/>
      <c r="CZ200" s="491"/>
      <c r="DA200" s="491"/>
      <c r="DB200" s="491"/>
      <c r="DC200" s="491"/>
      <c r="DD200" s="491"/>
      <c r="DE200" s="491"/>
      <c r="DF200" s="491"/>
      <c r="DG200" s="491"/>
      <c r="DH200" s="491"/>
      <c r="DI200" s="491"/>
      <c r="DJ200" s="491"/>
      <c r="DK200" s="491"/>
      <c r="DL200" s="491"/>
      <c r="DM200" s="491"/>
      <c r="DN200" s="491"/>
      <c r="DO200" s="491"/>
      <c r="DP200" s="491"/>
      <c r="DQ200" s="491"/>
      <c r="DR200" s="491"/>
      <c r="DS200" s="491"/>
      <c r="DT200" s="491"/>
      <c r="DU200" s="491"/>
      <c r="DV200" s="491"/>
      <c r="DW200" s="491"/>
      <c r="DX200" s="491"/>
      <c r="DY200" s="491"/>
      <c r="DZ200" s="491"/>
      <c r="EA200" s="491"/>
      <c r="EB200" s="491"/>
      <c r="EC200" s="491"/>
      <c r="ED200" s="491"/>
      <c r="EE200" s="491"/>
      <c r="EF200" s="491"/>
      <c r="EG200" s="491"/>
      <c r="EH200" s="491"/>
      <c r="EI200" s="491"/>
      <c r="EJ200" s="491"/>
      <c r="EK200" s="491"/>
      <c r="EL200" s="491"/>
      <c r="EM200" s="491"/>
      <c r="EN200" s="491"/>
      <c r="EO200" s="491"/>
      <c r="EP200" s="491"/>
      <c r="EQ200" s="491"/>
      <c r="ER200" s="491"/>
      <c r="ES200" s="491"/>
      <c r="ET200" s="491"/>
      <c r="EU200" s="491"/>
      <c r="EV200" s="491"/>
      <c r="EW200" s="491"/>
      <c r="EX200" s="491"/>
      <c r="EY200" s="491"/>
      <c r="EZ200" s="491"/>
      <c r="FA200" s="491"/>
      <c r="FB200" s="491"/>
      <c r="FC200" s="491"/>
      <c r="FD200" s="491"/>
      <c r="FE200" s="491"/>
      <c r="FF200" s="491"/>
      <c r="FG200" s="491"/>
      <c r="FH200" s="491"/>
      <c r="FI200" s="491"/>
      <c r="FJ200" s="491"/>
      <c r="FK200" s="491"/>
      <c r="FL200" s="491"/>
      <c r="FM200" s="491"/>
      <c r="FN200" s="491"/>
      <c r="FO200" s="491"/>
      <c r="FP200" s="491"/>
      <c r="FQ200" s="491"/>
      <c r="FR200" s="491"/>
      <c r="FS200" s="491"/>
      <c r="FT200" s="491"/>
      <c r="FU200" s="491"/>
      <c r="FV200" s="491"/>
      <c r="FW200" s="491"/>
      <c r="FX200" s="491"/>
      <c r="FY200" s="491"/>
      <c r="FZ200" s="491"/>
      <c r="GA200" s="491"/>
      <c r="GB200" s="491"/>
      <c r="GC200" s="491"/>
      <c r="GD200" s="491"/>
      <c r="GE200" s="491"/>
      <c r="GF200" s="491"/>
      <c r="GG200" s="491"/>
      <c r="GH200" s="491"/>
      <c r="GI200" s="491"/>
      <c r="GJ200" s="491"/>
      <c r="GK200" s="491"/>
      <c r="GL200" s="491"/>
      <c r="GM200" s="491"/>
      <c r="GN200" s="491"/>
      <c r="GO200" s="491"/>
      <c r="GP200" s="491"/>
      <c r="GQ200" s="491"/>
      <c r="GR200" s="491"/>
      <c r="GS200" s="491"/>
      <c r="GT200" s="491"/>
      <c r="GU200" s="491"/>
      <c r="GV200" s="491"/>
      <c r="GW200" s="491"/>
      <c r="GX200" s="491"/>
      <c r="GY200" s="491"/>
      <c r="GZ200" s="491"/>
      <c r="HA200" s="491"/>
      <c r="HB200" s="491"/>
      <c r="HC200" s="491"/>
      <c r="HD200" s="491"/>
      <c r="HE200" s="491"/>
      <c r="HF200" s="491"/>
      <c r="HG200" s="491"/>
      <c r="HH200" s="491"/>
      <c r="HI200" s="491"/>
      <c r="HJ200" s="491"/>
      <c r="HK200" s="491"/>
      <c r="HL200" s="491"/>
      <c r="HM200" s="491"/>
      <c r="HN200" s="491"/>
      <c r="HO200" s="491"/>
      <c r="HP200" s="491"/>
      <c r="HQ200" s="491"/>
      <c r="HR200" s="491"/>
      <c r="HS200" s="491"/>
      <c r="HT200" s="491"/>
      <c r="HU200" s="491"/>
      <c r="HV200" s="491"/>
      <c r="HW200" s="491"/>
      <c r="HX200" s="491"/>
      <c r="HY200" s="491"/>
      <c r="HZ200" s="491"/>
      <c r="IA200" s="491"/>
      <c r="IB200" s="491"/>
      <c r="IC200" s="491"/>
      <c r="ID200" s="491"/>
      <c r="IE200" s="491"/>
      <c r="IF200" s="491"/>
      <c r="IG200" s="491"/>
      <c r="IH200" s="491"/>
      <c r="II200" s="491"/>
      <c r="IJ200" s="491"/>
      <c r="IK200" s="491"/>
      <c r="IL200" s="491"/>
      <c r="IM200" s="491"/>
      <c r="IN200" s="491"/>
      <c r="IO200" s="491"/>
      <c r="IP200" s="491"/>
      <c r="IQ200" s="491"/>
      <c r="IR200" s="491"/>
      <c r="IS200" s="491"/>
      <c r="IT200" s="491"/>
      <c r="IU200" s="491"/>
    </row>
    <row r="201" s="43" customFormat="1" spans="1:255">
      <c r="A201" s="54">
        <v>196</v>
      </c>
      <c r="B201" s="98">
        <v>2756</v>
      </c>
      <c r="C201" s="97" t="s">
        <v>509</v>
      </c>
      <c r="D201" s="97" t="s">
        <v>76</v>
      </c>
      <c r="E201" s="99" t="s">
        <v>2569</v>
      </c>
      <c r="F201" s="190"/>
      <c r="G201" s="504" t="s">
        <v>2732</v>
      </c>
      <c r="H201" s="97"/>
      <c r="I201" s="102" t="str">
        <f t="shared" si="39"/>
        <v>Martinus Buntulibu</v>
      </c>
      <c r="J201" s="96" t="s">
        <v>127</v>
      </c>
      <c r="K201" s="97" t="s">
        <v>2570</v>
      </c>
      <c r="L201" s="99" t="s">
        <v>2733</v>
      </c>
      <c r="M201" s="513">
        <v>26573</v>
      </c>
      <c r="N201" s="444" t="str">
        <f ca="1" t="shared" si="40"/>
        <v>53 Tahun 1 Bulan </v>
      </c>
      <c r="O201" s="514">
        <v>26573</v>
      </c>
      <c r="P201" s="98">
        <f ca="1" t="shared" si="33"/>
        <v>53</v>
      </c>
      <c r="Q201" s="98" t="str">
        <f ca="1" t="shared" si="34"/>
        <v>OKE</v>
      </c>
      <c r="R201" s="635" t="s">
        <v>2734</v>
      </c>
      <c r="S201" s="190"/>
      <c r="T201" s="190"/>
      <c r="U201" s="97" t="s">
        <v>129</v>
      </c>
      <c r="V201" s="97" t="s">
        <v>84</v>
      </c>
      <c r="W201" s="97" t="s">
        <v>2481</v>
      </c>
      <c r="X201" s="190" t="s">
        <v>2585</v>
      </c>
      <c r="Y201" s="190"/>
      <c r="Z201" s="190"/>
      <c r="AA201" s="190"/>
      <c r="AB201" s="97" t="s">
        <v>2585</v>
      </c>
      <c r="AC201" s="98">
        <v>77375</v>
      </c>
      <c r="AD201" s="97" t="s">
        <v>1053</v>
      </c>
      <c r="AE201" s="190"/>
      <c r="AF201" s="98"/>
      <c r="AG201" s="475"/>
      <c r="AH201" s="190"/>
      <c r="AI201" s="190"/>
      <c r="AJ201" s="97" t="s">
        <v>2576</v>
      </c>
      <c r="AK201" s="477" t="s">
        <v>1056</v>
      </c>
      <c r="AL201" s="155" t="str">
        <f ca="1" t="shared" si="36"/>
        <v>11 Tahun 10 Bulan </v>
      </c>
      <c r="AM201" s="476" t="s">
        <v>1238</v>
      </c>
      <c r="AN201" s="476" t="s">
        <v>93</v>
      </c>
      <c r="AO201" s="97"/>
      <c r="AP201" s="97" t="s">
        <v>838</v>
      </c>
      <c r="AQ201" s="97" t="s">
        <v>2735</v>
      </c>
      <c r="AR201" s="190"/>
      <c r="AS201" s="97" t="s">
        <v>98</v>
      </c>
      <c r="AT201" s="190"/>
      <c r="AU201" s="97"/>
      <c r="AV201" s="99" t="s">
        <v>2736</v>
      </c>
      <c r="AW201" s="98" t="s">
        <v>100</v>
      </c>
      <c r="AX201" s="98" t="s">
        <v>120</v>
      </c>
      <c r="AY201" s="99"/>
      <c r="AZ201" s="190"/>
      <c r="BA201" s="190"/>
      <c r="BB201" s="97"/>
      <c r="BC201" s="190"/>
      <c r="BD201" s="190"/>
      <c r="BE201" s="190"/>
      <c r="BF201" s="98"/>
      <c r="BG201" s="190"/>
      <c r="BH201" s="96" t="s">
        <v>301</v>
      </c>
      <c r="BI201" s="97" t="s">
        <v>2582</v>
      </c>
      <c r="BJ201" s="504" t="s">
        <v>2732</v>
      </c>
      <c r="BK201" s="638" t="s">
        <v>2737</v>
      </c>
      <c r="BL201" s="499"/>
      <c r="BM201" s="491"/>
      <c r="BN201" s="491"/>
      <c r="BO201" s="491"/>
      <c r="BP201" s="491"/>
      <c r="BQ201" s="491"/>
      <c r="BR201" s="491"/>
      <c r="BS201" s="491"/>
      <c r="BT201" s="491"/>
      <c r="BU201" s="491"/>
      <c r="BV201" s="491"/>
      <c r="BW201" s="491"/>
      <c r="BX201" s="491"/>
      <c r="BY201" s="491"/>
      <c r="BZ201" s="491"/>
      <c r="CA201" s="491"/>
      <c r="CB201" s="491"/>
      <c r="CC201" s="491"/>
      <c r="CD201" s="491"/>
      <c r="CE201" s="491"/>
      <c r="CF201" s="491"/>
      <c r="CG201" s="491"/>
      <c r="CH201" s="491"/>
      <c r="CI201" s="491"/>
      <c r="CJ201" s="491"/>
      <c r="CK201" s="491"/>
      <c r="CL201" s="491"/>
      <c r="CM201" s="491"/>
      <c r="CN201" s="491"/>
      <c r="CO201" s="491"/>
      <c r="CP201" s="491"/>
      <c r="CQ201" s="491"/>
      <c r="CR201" s="491"/>
      <c r="CS201" s="491"/>
      <c r="CT201" s="491"/>
      <c r="CU201" s="491"/>
      <c r="CV201" s="491"/>
      <c r="CW201" s="491"/>
      <c r="CX201" s="491"/>
      <c r="CY201" s="491"/>
      <c r="CZ201" s="491"/>
      <c r="DA201" s="491"/>
      <c r="DB201" s="491"/>
      <c r="DC201" s="491"/>
      <c r="DD201" s="491"/>
      <c r="DE201" s="491"/>
      <c r="DF201" s="491"/>
      <c r="DG201" s="491"/>
      <c r="DH201" s="491"/>
      <c r="DI201" s="491"/>
      <c r="DJ201" s="491"/>
      <c r="DK201" s="491"/>
      <c r="DL201" s="491"/>
      <c r="DM201" s="491"/>
      <c r="DN201" s="491"/>
      <c r="DO201" s="491"/>
      <c r="DP201" s="491"/>
      <c r="DQ201" s="491"/>
      <c r="DR201" s="491"/>
      <c r="DS201" s="491"/>
      <c r="DT201" s="491"/>
      <c r="DU201" s="491"/>
      <c r="DV201" s="491"/>
      <c r="DW201" s="491"/>
      <c r="DX201" s="491"/>
      <c r="DY201" s="491"/>
      <c r="DZ201" s="491"/>
      <c r="EA201" s="491"/>
      <c r="EB201" s="491"/>
      <c r="EC201" s="491"/>
      <c r="ED201" s="491"/>
      <c r="EE201" s="491"/>
      <c r="EF201" s="491"/>
      <c r="EG201" s="491"/>
      <c r="EH201" s="491"/>
      <c r="EI201" s="491"/>
      <c r="EJ201" s="491"/>
      <c r="EK201" s="491"/>
      <c r="EL201" s="491"/>
      <c r="EM201" s="491"/>
      <c r="EN201" s="491"/>
      <c r="EO201" s="491"/>
      <c r="EP201" s="491"/>
      <c r="EQ201" s="491"/>
      <c r="ER201" s="491"/>
      <c r="ES201" s="491"/>
      <c r="ET201" s="491"/>
      <c r="EU201" s="491"/>
      <c r="EV201" s="491"/>
      <c r="EW201" s="491"/>
      <c r="EX201" s="491"/>
      <c r="EY201" s="491"/>
      <c r="EZ201" s="491"/>
      <c r="FA201" s="491"/>
      <c r="FB201" s="491"/>
      <c r="FC201" s="491"/>
      <c r="FD201" s="491"/>
      <c r="FE201" s="491"/>
      <c r="FF201" s="491"/>
      <c r="FG201" s="491"/>
      <c r="FH201" s="491"/>
      <c r="FI201" s="491"/>
      <c r="FJ201" s="491"/>
      <c r="FK201" s="491"/>
      <c r="FL201" s="491"/>
      <c r="FM201" s="491"/>
      <c r="FN201" s="491"/>
      <c r="FO201" s="491"/>
      <c r="FP201" s="491"/>
      <c r="FQ201" s="491"/>
      <c r="FR201" s="491"/>
      <c r="FS201" s="491"/>
      <c r="FT201" s="491"/>
      <c r="FU201" s="491"/>
      <c r="FV201" s="491"/>
      <c r="FW201" s="491"/>
      <c r="FX201" s="491"/>
      <c r="FY201" s="491"/>
      <c r="FZ201" s="491"/>
      <c r="GA201" s="491"/>
      <c r="GB201" s="491"/>
      <c r="GC201" s="491"/>
      <c r="GD201" s="491"/>
      <c r="GE201" s="491"/>
      <c r="GF201" s="491"/>
      <c r="GG201" s="491"/>
      <c r="GH201" s="491"/>
      <c r="GI201" s="491"/>
      <c r="GJ201" s="491"/>
      <c r="GK201" s="491"/>
      <c r="GL201" s="491"/>
      <c r="GM201" s="491"/>
      <c r="GN201" s="491"/>
      <c r="GO201" s="491"/>
      <c r="GP201" s="491"/>
      <c r="GQ201" s="491"/>
      <c r="GR201" s="491"/>
      <c r="GS201" s="491"/>
      <c r="GT201" s="491"/>
      <c r="GU201" s="491"/>
      <c r="GV201" s="491"/>
      <c r="GW201" s="491"/>
      <c r="GX201" s="491"/>
      <c r="GY201" s="491"/>
      <c r="GZ201" s="491"/>
      <c r="HA201" s="491"/>
      <c r="HB201" s="491"/>
      <c r="HC201" s="491"/>
      <c r="HD201" s="491"/>
      <c r="HE201" s="491"/>
      <c r="HF201" s="491"/>
      <c r="HG201" s="491"/>
      <c r="HH201" s="491"/>
      <c r="HI201" s="491"/>
      <c r="HJ201" s="491"/>
      <c r="HK201" s="491"/>
      <c r="HL201" s="491"/>
      <c r="HM201" s="491"/>
      <c r="HN201" s="491"/>
      <c r="HO201" s="491"/>
      <c r="HP201" s="491"/>
      <c r="HQ201" s="491"/>
      <c r="HR201" s="491"/>
      <c r="HS201" s="491"/>
      <c r="HT201" s="491"/>
      <c r="HU201" s="491"/>
      <c r="HV201" s="491"/>
      <c r="HW201" s="491"/>
      <c r="HX201" s="491"/>
      <c r="HY201" s="491"/>
      <c r="HZ201" s="491"/>
      <c r="IA201" s="491"/>
      <c r="IB201" s="491"/>
      <c r="IC201" s="491"/>
      <c r="ID201" s="491"/>
      <c r="IE201" s="491"/>
      <c r="IF201" s="491"/>
      <c r="IG201" s="491"/>
      <c r="IH201" s="491"/>
      <c r="II201" s="491"/>
      <c r="IJ201" s="491"/>
      <c r="IK201" s="491"/>
      <c r="IL201" s="491"/>
      <c r="IM201" s="491"/>
      <c r="IN201" s="491"/>
      <c r="IO201" s="491"/>
      <c r="IP201" s="491"/>
      <c r="IQ201" s="491"/>
      <c r="IR201" s="491"/>
      <c r="IS201" s="491"/>
      <c r="IT201" s="491"/>
      <c r="IU201" s="491"/>
    </row>
    <row r="202" s="295" customFormat="1" ht="57" customHeight="1" spans="1:63">
      <c r="A202" s="54">
        <v>197</v>
      </c>
      <c r="B202" s="505">
        <v>4620</v>
      </c>
      <c r="C202" s="171" t="s">
        <v>2738</v>
      </c>
      <c r="D202" s="171" t="s">
        <v>2739</v>
      </c>
      <c r="E202" s="171" t="s">
        <v>2740</v>
      </c>
      <c r="F202" s="171" t="s">
        <v>156</v>
      </c>
      <c r="G202" s="505" t="s">
        <v>2741</v>
      </c>
      <c r="H202" s="171"/>
      <c r="I202" s="113" t="str">
        <f t="shared" si="39"/>
        <v>Dalillah Khoirotul Huda</v>
      </c>
      <c r="J202" s="171" t="s">
        <v>80</v>
      </c>
      <c r="K202" s="171" t="str">
        <f t="shared" ref="K202:K203" si="41">IF(J202="P","Perempuan",IF(J202="L","Laki-laki"))</f>
        <v>Perempuan</v>
      </c>
      <c r="L202" s="505" t="s">
        <v>2742</v>
      </c>
      <c r="M202" s="515">
        <v>32978</v>
      </c>
      <c r="N202" s="155" t="str">
        <f ca="1" t="shared" si="40"/>
        <v>35 Tahun 6 Bulan </v>
      </c>
      <c r="O202" s="515">
        <v>32978</v>
      </c>
      <c r="P202" s="105">
        <f ca="1" t="shared" si="33"/>
        <v>35</v>
      </c>
      <c r="Q202" s="105" t="str">
        <f ca="1" t="shared" si="34"/>
        <v>OKE</v>
      </c>
      <c r="R202" s="522" t="s">
        <v>2743</v>
      </c>
      <c r="S202" s="171" t="s">
        <v>156</v>
      </c>
      <c r="T202" s="171" t="s">
        <v>156</v>
      </c>
      <c r="U202" s="505" t="s">
        <v>129</v>
      </c>
      <c r="V202" s="505" t="s">
        <v>84</v>
      </c>
      <c r="W202" s="523" t="s">
        <v>112</v>
      </c>
      <c r="X202" s="522" t="s">
        <v>2744</v>
      </c>
      <c r="Y202" s="522">
        <v>1</v>
      </c>
      <c r="Z202" s="171" t="s">
        <v>156</v>
      </c>
      <c r="AA202" s="171" t="s">
        <v>156</v>
      </c>
      <c r="AB202" s="522" t="s">
        <v>2745</v>
      </c>
      <c r="AC202" s="522">
        <v>77311</v>
      </c>
      <c r="AD202" s="524" t="s">
        <v>88</v>
      </c>
      <c r="AE202" s="171" t="s">
        <v>156</v>
      </c>
      <c r="AF202" s="522" t="s">
        <v>2746</v>
      </c>
      <c r="AG202" s="522" t="s">
        <v>2747</v>
      </c>
      <c r="AH202" s="171" t="s">
        <v>156</v>
      </c>
      <c r="AI202" s="171" t="s">
        <v>156</v>
      </c>
      <c r="AJ202" s="522" t="s">
        <v>2748</v>
      </c>
      <c r="AK202" s="533">
        <v>42220</v>
      </c>
      <c r="AL202" s="155" t="str">
        <f ca="1" t="shared" si="36"/>
        <v>10 Tahun 3 Bulan </v>
      </c>
      <c r="AM202" s="171" t="s">
        <v>136</v>
      </c>
      <c r="AN202" s="171" t="s">
        <v>93</v>
      </c>
      <c r="AO202" s="171" t="s">
        <v>1022</v>
      </c>
      <c r="AP202" s="171" t="s">
        <v>95</v>
      </c>
      <c r="AQ202" s="522" t="s">
        <v>2749</v>
      </c>
      <c r="AR202" s="171" t="s">
        <v>156</v>
      </c>
      <c r="AS202" s="171" t="s">
        <v>1466</v>
      </c>
      <c r="AT202" s="171"/>
      <c r="AU202" s="171"/>
      <c r="AV202" s="525" t="s">
        <v>2750</v>
      </c>
      <c r="AW202" s="522" t="s">
        <v>100</v>
      </c>
      <c r="AX202" s="171" t="s">
        <v>120</v>
      </c>
      <c r="AY202" s="171"/>
      <c r="AZ202" s="171" t="s">
        <v>156</v>
      </c>
      <c r="BA202" s="171" t="s">
        <v>156</v>
      </c>
      <c r="BB202" s="539" t="s">
        <v>2751</v>
      </c>
      <c r="BC202" s="540" t="s">
        <v>156</v>
      </c>
      <c r="BD202" s="171" t="s">
        <v>156</v>
      </c>
      <c r="BE202" s="171" t="s">
        <v>156</v>
      </c>
      <c r="BF202" s="171" t="s">
        <v>156</v>
      </c>
      <c r="BG202" s="171" t="s">
        <v>156</v>
      </c>
      <c r="BH202" s="522" t="s">
        <v>2752</v>
      </c>
      <c r="BI202" s="171" t="s">
        <v>88</v>
      </c>
      <c r="BJ202" s="522" t="s">
        <v>2741</v>
      </c>
      <c r="BK202" s="546" t="s">
        <v>2753</v>
      </c>
    </row>
    <row r="203" s="295" customFormat="1" spans="1:65">
      <c r="A203" s="54">
        <v>198</v>
      </c>
      <c r="B203" s="506">
        <v>4622</v>
      </c>
      <c r="C203" s="171" t="s">
        <v>2738</v>
      </c>
      <c r="D203" s="171" t="s">
        <v>2739</v>
      </c>
      <c r="E203" s="171" t="s">
        <v>2740</v>
      </c>
      <c r="F203" s="171" t="s">
        <v>156</v>
      </c>
      <c r="G203" s="506" t="s">
        <v>2754</v>
      </c>
      <c r="H203" s="171" t="s">
        <v>1309</v>
      </c>
      <c r="I203" s="113" t="str">
        <f t="shared" si="39"/>
        <v>Erny Fitriani, S. Pd</v>
      </c>
      <c r="J203" s="171" t="s">
        <v>80</v>
      </c>
      <c r="K203" s="171" t="str">
        <f t="shared" si="41"/>
        <v>Perempuan</v>
      </c>
      <c r="L203" s="506" t="s">
        <v>2755</v>
      </c>
      <c r="M203" s="516">
        <v>28028</v>
      </c>
      <c r="N203" s="155" t="str">
        <f ca="1" t="shared" si="40"/>
        <v>49 Tahun 1 Bulan </v>
      </c>
      <c r="O203" s="516">
        <v>28028</v>
      </c>
      <c r="P203" s="105">
        <f ca="1" t="shared" si="33"/>
        <v>49</v>
      </c>
      <c r="Q203" s="105" t="str">
        <f ca="1" t="shared" si="34"/>
        <v>OKE</v>
      </c>
      <c r="R203" s="524" t="s">
        <v>2756</v>
      </c>
      <c r="S203" s="171" t="s">
        <v>156</v>
      </c>
      <c r="T203" s="524" t="s">
        <v>2757</v>
      </c>
      <c r="U203" s="506" t="s">
        <v>2758</v>
      </c>
      <c r="V203" s="505" t="s">
        <v>84</v>
      </c>
      <c r="W203" s="523" t="s">
        <v>112</v>
      </c>
      <c r="X203" s="524" t="s">
        <v>2759</v>
      </c>
      <c r="Y203" s="524">
        <v>15</v>
      </c>
      <c r="Z203" s="171" t="s">
        <v>156</v>
      </c>
      <c r="AA203" s="171" t="s">
        <v>156</v>
      </c>
      <c r="AB203" s="524" t="s">
        <v>88</v>
      </c>
      <c r="AC203" s="524">
        <v>77311</v>
      </c>
      <c r="AD203" s="524" t="s">
        <v>88</v>
      </c>
      <c r="AE203" s="524" t="s">
        <v>156</v>
      </c>
      <c r="AF203" s="524" t="s">
        <v>2760</v>
      </c>
      <c r="AG203" s="524" t="s">
        <v>2761</v>
      </c>
      <c r="AH203" s="524" t="s">
        <v>156</v>
      </c>
      <c r="AI203" s="524" t="s">
        <v>156</v>
      </c>
      <c r="AJ203" s="524" t="s">
        <v>2762</v>
      </c>
      <c r="AK203" s="534">
        <v>39448</v>
      </c>
      <c r="AL203" s="155" t="str">
        <f ca="1" t="shared" si="36"/>
        <v>17 Tahun 10 Bulan </v>
      </c>
      <c r="AM203" s="524" t="s">
        <v>92</v>
      </c>
      <c r="AN203" s="171" t="s">
        <v>93</v>
      </c>
      <c r="AO203" s="524" t="s">
        <v>2763</v>
      </c>
      <c r="AP203" s="524" t="s">
        <v>169</v>
      </c>
      <c r="AQ203" s="524" t="s">
        <v>156</v>
      </c>
      <c r="AR203" s="171" t="s">
        <v>156</v>
      </c>
      <c r="AS203" s="524" t="s">
        <v>156</v>
      </c>
      <c r="AT203" s="524" t="s">
        <v>156</v>
      </c>
      <c r="AU203" s="524" t="s">
        <v>156</v>
      </c>
      <c r="AV203" s="524" t="s">
        <v>2764</v>
      </c>
      <c r="AW203" s="524" t="s">
        <v>100</v>
      </c>
      <c r="AX203" s="524" t="s">
        <v>101</v>
      </c>
      <c r="AY203" s="524" t="s">
        <v>2265</v>
      </c>
      <c r="AZ203" s="171" t="s">
        <v>156</v>
      </c>
      <c r="BA203" s="171" t="s">
        <v>156</v>
      </c>
      <c r="BB203" s="541" t="s">
        <v>156</v>
      </c>
      <c r="BC203" s="542" t="s">
        <v>2765</v>
      </c>
      <c r="BD203" s="524" t="s">
        <v>156</v>
      </c>
      <c r="BE203" s="524">
        <v>24</v>
      </c>
      <c r="BF203" s="524">
        <v>24</v>
      </c>
      <c r="BG203" s="171" t="s">
        <v>156</v>
      </c>
      <c r="BH203" s="524" t="s">
        <v>2752</v>
      </c>
      <c r="BI203" s="171" t="s">
        <v>88</v>
      </c>
      <c r="BJ203" s="524" t="s">
        <v>2754</v>
      </c>
      <c r="BK203" s="547" t="s">
        <v>2766</v>
      </c>
      <c r="BL203" s="548"/>
      <c r="BM203" s="548"/>
    </row>
    <row r="204" s="295" customFormat="1" ht="24" spans="1:63">
      <c r="A204" s="54">
        <v>199</v>
      </c>
      <c r="B204" s="506">
        <v>4623</v>
      </c>
      <c r="C204" s="171" t="s">
        <v>2738</v>
      </c>
      <c r="D204" s="171" t="s">
        <v>2739</v>
      </c>
      <c r="E204" s="171" t="s">
        <v>2740</v>
      </c>
      <c r="F204" s="171" t="s">
        <v>156</v>
      </c>
      <c r="G204" s="506" t="s">
        <v>2749</v>
      </c>
      <c r="H204" s="171"/>
      <c r="I204" s="113" t="str">
        <f t="shared" si="39"/>
        <v>Hadi Prabowo</v>
      </c>
      <c r="J204" s="171" t="s">
        <v>127</v>
      </c>
      <c r="K204" s="171" t="s">
        <v>2767</v>
      </c>
      <c r="L204" s="506" t="s">
        <v>2768</v>
      </c>
      <c r="M204" s="517">
        <v>33057</v>
      </c>
      <c r="N204" s="155" t="str">
        <f ca="1" t="shared" si="40"/>
        <v>35 Tahun 4 Bulan </v>
      </c>
      <c r="O204" s="516">
        <v>33057</v>
      </c>
      <c r="P204" s="105">
        <f ca="1" t="shared" si="33"/>
        <v>35</v>
      </c>
      <c r="Q204" s="105" t="str">
        <f ca="1" t="shared" si="34"/>
        <v>OKE</v>
      </c>
      <c r="R204" s="524" t="s">
        <v>2769</v>
      </c>
      <c r="S204" s="171" t="s">
        <v>156</v>
      </c>
      <c r="T204" s="171" t="s">
        <v>156</v>
      </c>
      <c r="U204" s="506" t="s">
        <v>129</v>
      </c>
      <c r="V204" s="505" t="s">
        <v>84</v>
      </c>
      <c r="W204" s="523" t="s">
        <v>112</v>
      </c>
      <c r="X204" s="524" t="s">
        <v>2744</v>
      </c>
      <c r="Y204" s="171"/>
      <c r="Z204" s="171" t="s">
        <v>156</v>
      </c>
      <c r="AA204" s="171" t="s">
        <v>156</v>
      </c>
      <c r="AB204" s="524" t="s">
        <v>2745</v>
      </c>
      <c r="AC204" s="524">
        <v>77311</v>
      </c>
      <c r="AD204" s="524" t="s">
        <v>88</v>
      </c>
      <c r="AE204" s="524" t="s">
        <v>2770</v>
      </c>
      <c r="AF204" s="524" t="s">
        <v>2771</v>
      </c>
      <c r="AG204" s="535" t="s">
        <v>2772</v>
      </c>
      <c r="AH204" s="524" t="s">
        <v>156</v>
      </c>
      <c r="AI204" s="524" t="s">
        <v>156</v>
      </c>
      <c r="AJ204" s="524" t="s">
        <v>2773</v>
      </c>
      <c r="AK204" s="534">
        <v>41334</v>
      </c>
      <c r="AL204" s="155" t="str">
        <f ca="1" t="shared" si="36"/>
        <v>12 Tahun 8 Bulan </v>
      </c>
      <c r="AM204" s="524" t="s">
        <v>92</v>
      </c>
      <c r="AN204" s="171" t="s">
        <v>93</v>
      </c>
      <c r="AO204" s="524" t="s">
        <v>2774</v>
      </c>
      <c r="AP204" s="171" t="s">
        <v>95</v>
      </c>
      <c r="AQ204" s="524" t="s">
        <v>2775</v>
      </c>
      <c r="AR204" s="171" t="s">
        <v>156</v>
      </c>
      <c r="AS204" s="171" t="s">
        <v>1466</v>
      </c>
      <c r="AT204" s="171" t="s">
        <v>156</v>
      </c>
      <c r="AU204" s="171" t="s">
        <v>156</v>
      </c>
      <c r="AV204" s="525" t="s">
        <v>2776</v>
      </c>
      <c r="AW204" s="524" t="s">
        <v>100</v>
      </c>
      <c r="AX204" s="171" t="s">
        <v>120</v>
      </c>
      <c r="AY204" s="171"/>
      <c r="AZ204" s="171" t="s">
        <v>156</v>
      </c>
      <c r="BA204" s="171" t="s">
        <v>156</v>
      </c>
      <c r="BB204" s="539" t="s">
        <v>2777</v>
      </c>
      <c r="BC204" s="540" t="s">
        <v>156</v>
      </c>
      <c r="BD204" s="171" t="s">
        <v>156</v>
      </c>
      <c r="BE204" s="171" t="s">
        <v>156</v>
      </c>
      <c r="BF204" s="171" t="s">
        <v>156</v>
      </c>
      <c r="BG204" s="171" t="s">
        <v>156</v>
      </c>
      <c r="BH204" s="524" t="s">
        <v>2752</v>
      </c>
      <c r="BI204" s="171" t="s">
        <v>88</v>
      </c>
      <c r="BJ204" s="524" t="s">
        <v>2749</v>
      </c>
      <c r="BK204" s="547" t="s">
        <v>2778</v>
      </c>
    </row>
    <row r="205" s="295" customFormat="1" ht="48" spans="1:63">
      <c r="A205" s="54">
        <v>200</v>
      </c>
      <c r="B205" s="505">
        <v>4624</v>
      </c>
      <c r="C205" s="171" t="s">
        <v>2738</v>
      </c>
      <c r="D205" s="171" t="s">
        <v>2739</v>
      </c>
      <c r="E205" s="171" t="s">
        <v>2740</v>
      </c>
      <c r="F205" s="171" t="s">
        <v>156</v>
      </c>
      <c r="G205" s="505" t="s">
        <v>2779</v>
      </c>
      <c r="H205" s="171"/>
      <c r="I205" s="113" t="str">
        <f t="shared" si="39"/>
        <v>Yuli Lestari</v>
      </c>
      <c r="J205" s="171" t="s">
        <v>80</v>
      </c>
      <c r="K205" s="171" t="str">
        <f t="shared" ref="K205:K206" si="42">IF(J205="P","Perempuan",IF(J205="L","Laki-laki"))</f>
        <v>Perempuan</v>
      </c>
      <c r="L205" s="505" t="s">
        <v>2780</v>
      </c>
      <c r="M205" s="518">
        <v>32716</v>
      </c>
      <c r="N205" s="155" t="str">
        <f ca="1" t="shared" si="40"/>
        <v>36 Tahun 3 Bulan </v>
      </c>
      <c r="O205" s="515">
        <v>32716</v>
      </c>
      <c r="P205" s="105">
        <f ca="1" t="shared" si="33"/>
        <v>36</v>
      </c>
      <c r="Q205" s="105" t="str">
        <f ca="1" t="shared" si="34"/>
        <v>OKE</v>
      </c>
      <c r="R205" s="522" t="s">
        <v>2781</v>
      </c>
      <c r="S205" s="171" t="s">
        <v>156</v>
      </c>
      <c r="T205" s="171" t="s">
        <v>156</v>
      </c>
      <c r="U205" s="505" t="s">
        <v>129</v>
      </c>
      <c r="V205" s="505" t="s">
        <v>84</v>
      </c>
      <c r="W205" s="523" t="s">
        <v>112</v>
      </c>
      <c r="X205" s="522" t="s">
        <v>2782</v>
      </c>
      <c r="Y205" s="522">
        <v>10</v>
      </c>
      <c r="Z205" s="171" t="s">
        <v>156</v>
      </c>
      <c r="AA205" s="171" t="s">
        <v>156</v>
      </c>
      <c r="AB205" s="522" t="s">
        <v>148</v>
      </c>
      <c r="AC205" s="522">
        <v>77315</v>
      </c>
      <c r="AD205" s="524" t="s">
        <v>88</v>
      </c>
      <c r="AE205" s="171" t="s">
        <v>156</v>
      </c>
      <c r="AF205" s="522" t="s">
        <v>2783</v>
      </c>
      <c r="AG205" s="522" t="s">
        <v>2784</v>
      </c>
      <c r="AH205" s="524" t="s">
        <v>156</v>
      </c>
      <c r="AI205" s="524" t="s">
        <v>156</v>
      </c>
      <c r="AJ205" s="522" t="s">
        <v>2785</v>
      </c>
      <c r="AK205" s="533">
        <v>40910</v>
      </c>
      <c r="AL205" s="155" t="str">
        <f ca="1" t="shared" si="36"/>
        <v>13 Tahun 10 Bulan </v>
      </c>
      <c r="AM205" s="522" t="s">
        <v>92</v>
      </c>
      <c r="AN205" s="171" t="s">
        <v>93</v>
      </c>
      <c r="AO205" s="522" t="s">
        <v>2786</v>
      </c>
      <c r="AP205" s="171" t="s">
        <v>95</v>
      </c>
      <c r="AQ205" s="522" t="s">
        <v>2787</v>
      </c>
      <c r="AR205" s="171" t="s">
        <v>156</v>
      </c>
      <c r="AS205" s="171" t="s">
        <v>1466</v>
      </c>
      <c r="AT205" s="171" t="s">
        <v>156</v>
      </c>
      <c r="AU205" s="171" t="s">
        <v>156</v>
      </c>
      <c r="AV205" s="525" t="s">
        <v>156</v>
      </c>
      <c r="AW205" s="522" t="s">
        <v>100</v>
      </c>
      <c r="AX205" s="171" t="s">
        <v>120</v>
      </c>
      <c r="AY205" s="171" t="s">
        <v>234</v>
      </c>
      <c r="AZ205" s="171" t="s">
        <v>156</v>
      </c>
      <c r="BA205" s="171" t="s">
        <v>156</v>
      </c>
      <c r="BB205" s="543" t="s">
        <v>2788</v>
      </c>
      <c r="BC205" s="540" t="s">
        <v>156</v>
      </c>
      <c r="BD205" s="171" t="s">
        <v>156</v>
      </c>
      <c r="BE205" s="171" t="s">
        <v>156</v>
      </c>
      <c r="BF205" s="171" t="s">
        <v>156</v>
      </c>
      <c r="BG205" s="171" t="s">
        <v>156</v>
      </c>
      <c r="BH205" s="522" t="s">
        <v>2752</v>
      </c>
      <c r="BI205" s="171" t="s">
        <v>88</v>
      </c>
      <c r="BJ205" s="522" t="s">
        <v>2779</v>
      </c>
      <c r="BK205" s="546" t="s">
        <v>2789</v>
      </c>
    </row>
    <row r="206" s="295" customFormat="1" spans="1:63">
      <c r="A206" s="54">
        <v>201</v>
      </c>
      <c r="B206" s="505">
        <v>4625</v>
      </c>
      <c r="C206" s="171" t="s">
        <v>2738</v>
      </c>
      <c r="D206" s="171" t="s">
        <v>2739</v>
      </c>
      <c r="E206" s="171" t="s">
        <v>2740</v>
      </c>
      <c r="F206" s="171" t="s">
        <v>156</v>
      </c>
      <c r="G206" s="505" t="s">
        <v>2790</v>
      </c>
      <c r="H206" s="171" t="s">
        <v>2791</v>
      </c>
      <c r="I206" s="113" t="str">
        <f t="shared" si="39"/>
        <v>Yulia Suwarliani, S.Pd.AUD</v>
      </c>
      <c r="J206" s="171" t="s">
        <v>80</v>
      </c>
      <c r="K206" s="171" t="str">
        <f t="shared" si="42"/>
        <v>Perempuan</v>
      </c>
      <c r="L206" s="505" t="s">
        <v>2792</v>
      </c>
      <c r="M206" s="518">
        <v>25446</v>
      </c>
      <c r="N206" s="155" t="str">
        <f ca="1" t="shared" si="40"/>
        <v>56 Tahun 2 Bulan </v>
      </c>
      <c r="O206" s="515">
        <v>25446</v>
      </c>
      <c r="P206" s="105">
        <f ca="1" t="shared" si="33"/>
        <v>56</v>
      </c>
      <c r="Q206" s="105" t="str">
        <f ca="1" t="shared" si="34"/>
        <v>OKE</v>
      </c>
      <c r="R206" s="525" t="s">
        <v>2793</v>
      </c>
      <c r="S206" s="171" t="s">
        <v>156</v>
      </c>
      <c r="T206" s="639" t="s">
        <v>2794</v>
      </c>
      <c r="U206" s="505" t="s">
        <v>2758</v>
      </c>
      <c r="V206" s="505" t="s">
        <v>84</v>
      </c>
      <c r="W206" s="523" t="s">
        <v>112</v>
      </c>
      <c r="X206" s="522" t="s">
        <v>2795</v>
      </c>
      <c r="Y206" s="522">
        <v>6</v>
      </c>
      <c r="Z206" s="171" t="s">
        <v>156</v>
      </c>
      <c r="AA206" s="171" t="s">
        <v>156</v>
      </c>
      <c r="AB206" s="522" t="s">
        <v>88</v>
      </c>
      <c r="AC206" s="522">
        <v>77311</v>
      </c>
      <c r="AD206" s="524" t="s">
        <v>88</v>
      </c>
      <c r="AE206" s="171" t="s">
        <v>156</v>
      </c>
      <c r="AF206" s="640" t="s">
        <v>2796</v>
      </c>
      <c r="AG206" s="536" t="s">
        <v>2797</v>
      </c>
      <c r="AH206" s="524" t="s">
        <v>156</v>
      </c>
      <c r="AI206" s="524" t="s">
        <v>156</v>
      </c>
      <c r="AJ206" s="522" t="s">
        <v>2798</v>
      </c>
      <c r="AK206" s="533">
        <v>40087</v>
      </c>
      <c r="AL206" s="155" t="str">
        <f ca="1" t="shared" si="36"/>
        <v>16 Tahun 1 Bulan </v>
      </c>
      <c r="AM206" s="522" t="s">
        <v>92</v>
      </c>
      <c r="AN206" s="171" t="s">
        <v>93</v>
      </c>
      <c r="AO206" s="522" t="s">
        <v>2799</v>
      </c>
      <c r="AP206" s="171" t="s">
        <v>95</v>
      </c>
      <c r="AQ206" s="522" t="s">
        <v>2800</v>
      </c>
      <c r="AR206" s="171" t="s">
        <v>156</v>
      </c>
      <c r="AS206" s="171" t="s">
        <v>2076</v>
      </c>
      <c r="AT206" s="171" t="s">
        <v>156</v>
      </c>
      <c r="AU206" s="171" t="s">
        <v>156</v>
      </c>
      <c r="AV206" s="525" t="s">
        <v>156</v>
      </c>
      <c r="AW206" s="522" t="s">
        <v>100</v>
      </c>
      <c r="AX206" s="522" t="s">
        <v>101</v>
      </c>
      <c r="AY206" s="171" t="s">
        <v>2801</v>
      </c>
      <c r="AZ206" s="171" t="s">
        <v>156</v>
      </c>
      <c r="BA206" s="171" t="s">
        <v>156</v>
      </c>
      <c r="BB206" s="543" t="s">
        <v>156</v>
      </c>
      <c r="BC206" s="540" t="s">
        <v>2802</v>
      </c>
      <c r="BD206" s="171" t="s">
        <v>156</v>
      </c>
      <c r="BE206" s="171">
        <v>24</v>
      </c>
      <c r="BF206" s="171">
        <v>24</v>
      </c>
      <c r="BG206" s="171" t="s">
        <v>156</v>
      </c>
      <c r="BH206" s="522" t="s">
        <v>2752</v>
      </c>
      <c r="BI206" s="171" t="s">
        <v>88</v>
      </c>
      <c r="BJ206" s="522" t="s">
        <v>2790</v>
      </c>
      <c r="BK206" s="546" t="s">
        <v>2803</v>
      </c>
    </row>
    <row r="207" s="295" customFormat="1" ht="36" spans="1:63">
      <c r="A207" s="54">
        <v>202</v>
      </c>
      <c r="B207" s="505">
        <v>4626</v>
      </c>
      <c r="C207" s="171" t="s">
        <v>2738</v>
      </c>
      <c r="D207" s="171" t="s">
        <v>2739</v>
      </c>
      <c r="E207" s="171" t="s">
        <v>2740</v>
      </c>
      <c r="F207" s="171" t="s">
        <v>156</v>
      </c>
      <c r="G207" s="505" t="s">
        <v>2804</v>
      </c>
      <c r="H207" s="171"/>
      <c r="I207" s="113" t="str">
        <f t="shared" si="39"/>
        <v>Bambang Widiyatno</v>
      </c>
      <c r="J207" s="171" t="s">
        <v>127</v>
      </c>
      <c r="K207" s="171" t="s">
        <v>2767</v>
      </c>
      <c r="L207" s="505" t="s">
        <v>2805</v>
      </c>
      <c r="M207" s="518">
        <v>30927</v>
      </c>
      <c r="N207" s="155" t="str">
        <f ca="1" t="shared" si="40"/>
        <v>41 Tahun 2 Bulan </v>
      </c>
      <c r="O207" s="515">
        <v>30927</v>
      </c>
      <c r="P207" s="105">
        <f ca="1" t="shared" si="33"/>
        <v>41</v>
      </c>
      <c r="Q207" s="105" t="str">
        <f ca="1" t="shared" si="34"/>
        <v>OKE</v>
      </c>
      <c r="R207" s="525" t="s">
        <v>2806</v>
      </c>
      <c r="S207" s="171" t="s">
        <v>156</v>
      </c>
      <c r="T207" s="171" t="s">
        <v>156</v>
      </c>
      <c r="U207" s="505" t="s">
        <v>129</v>
      </c>
      <c r="V207" s="505" t="s">
        <v>84</v>
      </c>
      <c r="W207" s="523" t="s">
        <v>112</v>
      </c>
      <c r="X207" s="171" t="s">
        <v>2807</v>
      </c>
      <c r="Y207" s="171">
        <v>9</v>
      </c>
      <c r="Z207" s="171" t="s">
        <v>156</v>
      </c>
      <c r="AA207" s="171" t="s">
        <v>156</v>
      </c>
      <c r="AB207" s="171" t="s">
        <v>2808</v>
      </c>
      <c r="AC207" s="171">
        <v>77311</v>
      </c>
      <c r="AD207" s="171" t="s">
        <v>2808</v>
      </c>
      <c r="AE207" s="171" t="s">
        <v>156</v>
      </c>
      <c r="AF207" s="525" t="s">
        <v>2809</v>
      </c>
      <c r="AG207" s="537" t="s">
        <v>2810</v>
      </c>
      <c r="AH207" s="524" t="s">
        <v>156</v>
      </c>
      <c r="AI207" s="524" t="s">
        <v>156</v>
      </c>
      <c r="AJ207" s="171" t="s">
        <v>2811</v>
      </c>
      <c r="AK207" s="538">
        <v>39823</v>
      </c>
      <c r="AL207" s="155" t="str">
        <f ca="1" t="shared" si="36"/>
        <v>16 Tahun 9 Bulan </v>
      </c>
      <c r="AM207" s="171" t="s">
        <v>136</v>
      </c>
      <c r="AN207" s="171" t="s">
        <v>93</v>
      </c>
      <c r="AO207" s="171" t="s">
        <v>2812</v>
      </c>
      <c r="AP207" s="171" t="s">
        <v>95</v>
      </c>
      <c r="AQ207" s="171" t="s">
        <v>2813</v>
      </c>
      <c r="AR207" s="171" t="s">
        <v>156</v>
      </c>
      <c r="AS207" s="171" t="s">
        <v>941</v>
      </c>
      <c r="AT207" s="171" t="s">
        <v>156</v>
      </c>
      <c r="AU207" s="171" t="s">
        <v>156</v>
      </c>
      <c r="AV207" s="525" t="s">
        <v>2814</v>
      </c>
      <c r="AW207" s="171" t="s">
        <v>100</v>
      </c>
      <c r="AX207" s="171" t="s">
        <v>120</v>
      </c>
      <c r="AY207" s="171" t="s">
        <v>2815</v>
      </c>
      <c r="AZ207" s="171" t="s">
        <v>156</v>
      </c>
      <c r="BA207" s="171" t="s">
        <v>156</v>
      </c>
      <c r="BB207" s="543" t="s">
        <v>2816</v>
      </c>
      <c r="BC207" s="540" t="s">
        <v>156</v>
      </c>
      <c r="BD207" s="171" t="s">
        <v>156</v>
      </c>
      <c r="BE207" s="171" t="s">
        <v>156</v>
      </c>
      <c r="BF207" s="171" t="s">
        <v>156</v>
      </c>
      <c r="BG207" s="171" t="s">
        <v>156</v>
      </c>
      <c r="BH207" s="522" t="s">
        <v>2752</v>
      </c>
      <c r="BI207" s="171" t="s">
        <v>88</v>
      </c>
      <c r="BJ207" s="171" t="s">
        <v>2804</v>
      </c>
      <c r="BK207" s="546" t="s">
        <v>2817</v>
      </c>
    </row>
    <row r="208" s="295" customFormat="1" ht="36" spans="1:63">
      <c r="A208" s="54">
        <v>203</v>
      </c>
      <c r="B208" s="505">
        <v>4627</v>
      </c>
      <c r="C208" s="171" t="s">
        <v>2738</v>
      </c>
      <c r="D208" s="171" t="s">
        <v>2739</v>
      </c>
      <c r="E208" s="171" t="s">
        <v>2740</v>
      </c>
      <c r="F208" s="171" t="s">
        <v>156</v>
      </c>
      <c r="G208" s="507" t="s">
        <v>2818</v>
      </c>
      <c r="H208" s="171" t="s">
        <v>287</v>
      </c>
      <c r="I208" s="113" t="str">
        <f t="shared" si="39"/>
        <v>Rosmalina Kampo., A.Md</v>
      </c>
      <c r="J208" s="171" t="s">
        <v>80</v>
      </c>
      <c r="K208" s="171" t="str">
        <f t="shared" ref="K208:K211" si="43">IF(J208="P","Perempuan",IF(J208="L","Laki-laki"))</f>
        <v>Perempuan</v>
      </c>
      <c r="L208" s="505" t="s">
        <v>2819</v>
      </c>
      <c r="M208" s="518">
        <v>31600</v>
      </c>
      <c r="N208" s="155" t="str">
        <f ca="1" t="shared" si="40"/>
        <v>39 Tahun 3 Bulan </v>
      </c>
      <c r="O208" s="515">
        <v>31600</v>
      </c>
      <c r="P208" s="105">
        <f ca="1" t="shared" si="33"/>
        <v>39</v>
      </c>
      <c r="Q208" s="105" t="str">
        <f ca="1" t="shared" si="34"/>
        <v>OKE</v>
      </c>
      <c r="R208" s="525" t="s">
        <v>2820</v>
      </c>
      <c r="S208" s="171" t="s">
        <v>156</v>
      </c>
      <c r="T208" s="171" t="s">
        <v>156</v>
      </c>
      <c r="U208" s="505" t="s">
        <v>129</v>
      </c>
      <c r="V208" s="505" t="s">
        <v>84</v>
      </c>
      <c r="W208" s="523" t="s">
        <v>112</v>
      </c>
      <c r="X208" s="171" t="s">
        <v>2821</v>
      </c>
      <c r="Y208" s="171">
        <v>2</v>
      </c>
      <c r="Z208" s="171">
        <v>2</v>
      </c>
      <c r="AA208" s="171" t="s">
        <v>156</v>
      </c>
      <c r="AB208" s="171" t="s">
        <v>2745</v>
      </c>
      <c r="AC208" s="171">
        <v>77330</v>
      </c>
      <c r="AD208" s="528" t="s">
        <v>88</v>
      </c>
      <c r="AE208" s="171" t="s">
        <v>156</v>
      </c>
      <c r="AF208" s="525" t="s">
        <v>2822</v>
      </c>
      <c r="AG208" s="537" t="s">
        <v>2823</v>
      </c>
      <c r="AH208" s="524" t="s">
        <v>156</v>
      </c>
      <c r="AI208" s="524" t="s">
        <v>156</v>
      </c>
      <c r="AJ208" s="522" t="s">
        <v>2824</v>
      </c>
      <c r="AK208" s="533">
        <v>41276</v>
      </c>
      <c r="AL208" s="155" t="str">
        <f ca="1" t="shared" si="36"/>
        <v>12 Tahun 10 Bulan </v>
      </c>
      <c r="AM208" s="171" t="s">
        <v>92</v>
      </c>
      <c r="AN208" s="171" t="s">
        <v>93</v>
      </c>
      <c r="AO208" s="171" t="s">
        <v>2825</v>
      </c>
      <c r="AP208" s="171" t="s">
        <v>95</v>
      </c>
      <c r="AQ208" s="171" t="s">
        <v>2826</v>
      </c>
      <c r="AR208" s="171" t="s">
        <v>156</v>
      </c>
      <c r="AS208" s="171" t="s">
        <v>2076</v>
      </c>
      <c r="AT208" s="171" t="s">
        <v>156</v>
      </c>
      <c r="AU208" s="171" t="s">
        <v>156</v>
      </c>
      <c r="AV208" s="525" t="s">
        <v>2827</v>
      </c>
      <c r="AW208" s="171" t="s">
        <v>100</v>
      </c>
      <c r="AX208" s="171" t="s">
        <v>299</v>
      </c>
      <c r="AY208" s="171" t="s">
        <v>2828</v>
      </c>
      <c r="AZ208" s="171" t="s">
        <v>156</v>
      </c>
      <c r="BA208" s="171" t="s">
        <v>156</v>
      </c>
      <c r="BB208" s="543" t="s">
        <v>2829</v>
      </c>
      <c r="BC208" s="540" t="s">
        <v>156</v>
      </c>
      <c r="BD208" s="171" t="s">
        <v>156</v>
      </c>
      <c r="BE208" s="171" t="s">
        <v>156</v>
      </c>
      <c r="BF208" s="171" t="s">
        <v>156</v>
      </c>
      <c r="BG208" s="171" t="s">
        <v>156</v>
      </c>
      <c r="BH208" s="522" t="s">
        <v>2752</v>
      </c>
      <c r="BI208" s="171" t="s">
        <v>88</v>
      </c>
      <c r="BJ208" s="522" t="s">
        <v>2830</v>
      </c>
      <c r="BK208" s="546" t="s">
        <v>2831</v>
      </c>
    </row>
    <row r="209" s="295" customFormat="1" ht="46.5" customHeight="1" spans="1:63">
      <c r="A209" s="54">
        <v>204</v>
      </c>
      <c r="B209" s="505">
        <v>4628</v>
      </c>
      <c r="C209" s="171" t="s">
        <v>2738</v>
      </c>
      <c r="D209" s="171" t="s">
        <v>2739</v>
      </c>
      <c r="E209" s="171" t="s">
        <v>2740</v>
      </c>
      <c r="F209" s="171" t="s">
        <v>156</v>
      </c>
      <c r="G209" s="507" t="s">
        <v>2832</v>
      </c>
      <c r="H209" s="171" t="s">
        <v>1328</v>
      </c>
      <c r="I209" s="113" t="str">
        <f t="shared" si="39"/>
        <v>Salasiah, , S.Pd.I</v>
      </c>
      <c r="J209" s="171" t="s">
        <v>80</v>
      </c>
      <c r="K209" s="171" t="str">
        <f t="shared" si="43"/>
        <v>Perempuan</v>
      </c>
      <c r="L209" s="505" t="s">
        <v>2833</v>
      </c>
      <c r="M209" s="518">
        <v>28997</v>
      </c>
      <c r="N209" s="155" t="str">
        <f ca="1" t="shared" si="40"/>
        <v>46 Tahun 5 Bulan </v>
      </c>
      <c r="O209" s="515">
        <v>28997</v>
      </c>
      <c r="P209" s="105">
        <f ca="1" t="shared" si="33"/>
        <v>46</v>
      </c>
      <c r="Q209" s="105" t="str">
        <f ca="1" t="shared" si="34"/>
        <v>OKE</v>
      </c>
      <c r="R209" s="525" t="s">
        <v>2834</v>
      </c>
      <c r="S209" s="171" t="s">
        <v>156</v>
      </c>
      <c r="T209" s="641" t="s">
        <v>2835</v>
      </c>
      <c r="U209" s="505" t="s">
        <v>83</v>
      </c>
      <c r="V209" s="505" t="s">
        <v>84</v>
      </c>
      <c r="W209" s="523" t="s">
        <v>112</v>
      </c>
      <c r="X209" s="171" t="s">
        <v>2836</v>
      </c>
      <c r="Y209" s="171">
        <v>6</v>
      </c>
      <c r="Z209" s="171" t="s">
        <v>156</v>
      </c>
      <c r="AA209" s="171" t="s">
        <v>156</v>
      </c>
      <c r="AB209" s="171" t="s">
        <v>2745</v>
      </c>
      <c r="AC209" s="171">
        <v>77311</v>
      </c>
      <c r="AD209" s="529" t="s">
        <v>88</v>
      </c>
      <c r="AE209" s="171" t="s">
        <v>156</v>
      </c>
      <c r="AF209" s="525" t="s">
        <v>2837</v>
      </c>
      <c r="AG209" s="537" t="s">
        <v>2838</v>
      </c>
      <c r="AH209" s="524" t="s">
        <v>156</v>
      </c>
      <c r="AI209" s="524" t="s">
        <v>156</v>
      </c>
      <c r="AJ209" s="522" t="s">
        <v>2839</v>
      </c>
      <c r="AK209" s="538">
        <v>39479</v>
      </c>
      <c r="AL209" s="155" t="str">
        <f ca="1" t="shared" si="36"/>
        <v>17 Tahun 9 Bulan </v>
      </c>
      <c r="AM209" s="171" t="s">
        <v>92</v>
      </c>
      <c r="AN209" s="171" t="s">
        <v>93</v>
      </c>
      <c r="AO209" s="171" t="s">
        <v>2840</v>
      </c>
      <c r="AP209" s="171" t="s">
        <v>169</v>
      </c>
      <c r="AQ209" s="171"/>
      <c r="AR209" s="171" t="s">
        <v>156</v>
      </c>
      <c r="AS209" s="171" t="s">
        <v>156</v>
      </c>
      <c r="AT209" s="171" t="s">
        <v>156</v>
      </c>
      <c r="AU209" s="171" t="s">
        <v>156</v>
      </c>
      <c r="AV209" s="525" t="s">
        <v>2841</v>
      </c>
      <c r="AW209" s="171" t="s">
        <v>100</v>
      </c>
      <c r="AX209" s="171" t="s">
        <v>101</v>
      </c>
      <c r="AY209" s="171" t="s">
        <v>606</v>
      </c>
      <c r="AZ209" s="171" t="s">
        <v>156</v>
      </c>
      <c r="BA209" s="171" t="s">
        <v>156</v>
      </c>
      <c r="BB209" s="543" t="s">
        <v>2842</v>
      </c>
      <c r="BC209" s="544" t="s">
        <v>2843</v>
      </c>
      <c r="BD209" s="171" t="s">
        <v>156</v>
      </c>
      <c r="BE209" s="171">
        <v>30</v>
      </c>
      <c r="BF209" s="171">
        <v>30</v>
      </c>
      <c r="BG209" s="171" t="s">
        <v>156</v>
      </c>
      <c r="BH209" s="522" t="s">
        <v>2752</v>
      </c>
      <c r="BI209" s="171" t="s">
        <v>88</v>
      </c>
      <c r="BJ209" s="522" t="s">
        <v>2844</v>
      </c>
      <c r="BK209" s="546" t="s">
        <v>2845</v>
      </c>
    </row>
    <row r="210" s="295" customFormat="1" spans="1:63">
      <c r="A210" s="54">
        <v>205</v>
      </c>
      <c r="B210" s="505">
        <v>4629</v>
      </c>
      <c r="C210" s="171" t="s">
        <v>2738</v>
      </c>
      <c r="D210" s="171" t="s">
        <v>2739</v>
      </c>
      <c r="E210" s="171" t="s">
        <v>2740</v>
      </c>
      <c r="F210" s="171" t="s">
        <v>156</v>
      </c>
      <c r="G210" s="507" t="s">
        <v>2846</v>
      </c>
      <c r="H210" s="171" t="s">
        <v>2791</v>
      </c>
      <c r="I210" s="113" t="str">
        <f t="shared" si="39"/>
        <v>Glawdia Caisar, S.Pd.AUD</v>
      </c>
      <c r="J210" s="171" t="s">
        <v>80</v>
      </c>
      <c r="K210" s="171" t="str">
        <f t="shared" si="43"/>
        <v>Perempuan</v>
      </c>
      <c r="L210" s="505" t="s">
        <v>2847</v>
      </c>
      <c r="M210" s="518">
        <v>31382</v>
      </c>
      <c r="N210" s="155" t="str">
        <f ca="1" t="shared" si="40"/>
        <v>39 Tahun 11 Bulan </v>
      </c>
      <c r="O210" s="515">
        <v>31382</v>
      </c>
      <c r="P210" s="105">
        <f ca="1" t="shared" si="33"/>
        <v>39</v>
      </c>
      <c r="Q210" s="105" t="str">
        <f ca="1" t="shared" si="34"/>
        <v>OKE</v>
      </c>
      <c r="R210" s="525" t="s">
        <v>2848</v>
      </c>
      <c r="S210" s="171" t="s">
        <v>156</v>
      </c>
      <c r="T210" s="171" t="s">
        <v>156</v>
      </c>
      <c r="U210" s="505" t="s">
        <v>2758</v>
      </c>
      <c r="V210" s="505" t="s">
        <v>84</v>
      </c>
      <c r="W210" s="523" t="s">
        <v>112</v>
      </c>
      <c r="X210" s="171" t="s">
        <v>2849</v>
      </c>
      <c r="Y210" s="171">
        <v>6</v>
      </c>
      <c r="Z210" s="171" t="s">
        <v>156</v>
      </c>
      <c r="AA210" s="171" t="s">
        <v>156</v>
      </c>
      <c r="AB210" s="171" t="s">
        <v>423</v>
      </c>
      <c r="AC210" s="171">
        <v>77311</v>
      </c>
      <c r="AD210" s="171" t="s">
        <v>88</v>
      </c>
      <c r="AE210" s="171" t="s">
        <v>156</v>
      </c>
      <c r="AF210" s="525">
        <v>81314164906</v>
      </c>
      <c r="AG210" s="537" t="s">
        <v>2850</v>
      </c>
      <c r="AH210" s="524" t="s">
        <v>156</v>
      </c>
      <c r="AI210" s="524" t="s">
        <v>156</v>
      </c>
      <c r="AJ210" s="522" t="s">
        <v>2851</v>
      </c>
      <c r="AK210" s="538">
        <v>42186</v>
      </c>
      <c r="AL210" s="155" t="str">
        <f ca="1" t="shared" si="36"/>
        <v>10 Tahun 4 Bulan </v>
      </c>
      <c r="AM210" s="171" t="s">
        <v>92</v>
      </c>
      <c r="AN210" s="171" t="s">
        <v>93</v>
      </c>
      <c r="AO210" s="171" t="s">
        <v>2852</v>
      </c>
      <c r="AP210" s="171" t="s">
        <v>95</v>
      </c>
      <c r="AQ210" s="171" t="s">
        <v>2853</v>
      </c>
      <c r="AR210" s="171" t="s">
        <v>156</v>
      </c>
      <c r="AS210" s="171" t="s">
        <v>1466</v>
      </c>
      <c r="AT210" s="171" t="s">
        <v>156</v>
      </c>
      <c r="AU210" s="171" t="s">
        <v>156</v>
      </c>
      <c r="AV210" s="525" t="s">
        <v>2854</v>
      </c>
      <c r="AW210" s="171" t="s">
        <v>100</v>
      </c>
      <c r="AX210" s="171" t="s">
        <v>101</v>
      </c>
      <c r="AY210" s="171" t="s">
        <v>2855</v>
      </c>
      <c r="AZ210" s="171" t="s">
        <v>156</v>
      </c>
      <c r="BA210" s="171" t="s">
        <v>156</v>
      </c>
      <c r="BB210" s="543" t="s">
        <v>2842</v>
      </c>
      <c r="BC210" s="540" t="s">
        <v>2856</v>
      </c>
      <c r="BD210" s="171" t="s">
        <v>156</v>
      </c>
      <c r="BE210" s="171">
        <v>24</v>
      </c>
      <c r="BF210" s="171">
        <v>24</v>
      </c>
      <c r="BG210" s="171" t="s">
        <v>156</v>
      </c>
      <c r="BH210" s="522" t="s">
        <v>2752</v>
      </c>
      <c r="BI210" s="171" t="s">
        <v>88</v>
      </c>
      <c r="BJ210" s="522" t="s">
        <v>2846</v>
      </c>
      <c r="BK210" s="546" t="s">
        <v>2857</v>
      </c>
    </row>
    <row r="211" s="295" customFormat="1" ht="36" spans="1:63">
      <c r="A211" s="54">
        <v>206</v>
      </c>
      <c r="B211" s="505">
        <v>4630</v>
      </c>
      <c r="C211" s="171" t="s">
        <v>2738</v>
      </c>
      <c r="D211" s="171" t="s">
        <v>2739</v>
      </c>
      <c r="E211" s="171" t="s">
        <v>2740</v>
      </c>
      <c r="F211" s="171" t="s">
        <v>156</v>
      </c>
      <c r="G211" s="507" t="s">
        <v>2858</v>
      </c>
      <c r="H211" s="171"/>
      <c r="I211" s="113" t="str">
        <f t="shared" si="39"/>
        <v>Nawa Herrahayuni</v>
      </c>
      <c r="J211" s="171" t="s">
        <v>80</v>
      </c>
      <c r="K211" s="171" t="str">
        <f t="shared" si="43"/>
        <v>Perempuan</v>
      </c>
      <c r="L211" s="505" t="s">
        <v>2859</v>
      </c>
      <c r="M211" s="518">
        <v>29065</v>
      </c>
      <c r="N211" s="155" t="str">
        <f ca="1" t="shared" si="40"/>
        <v>46 Tahun 3 Bulan </v>
      </c>
      <c r="O211" s="515">
        <v>29065</v>
      </c>
      <c r="P211" s="105">
        <f ca="1" t="shared" ref="P211:P215" si="44">+DATEDIF(O211,NOW(),"Y")</f>
        <v>46</v>
      </c>
      <c r="Q211" s="105" t="str">
        <f ca="1" t="shared" ref="Q211:Q215" si="45">IF(P211&gt;56,"Lewat","OKE")</f>
        <v>OKE</v>
      </c>
      <c r="R211" s="525" t="s">
        <v>2860</v>
      </c>
      <c r="S211" s="171" t="s">
        <v>156</v>
      </c>
      <c r="T211" s="171" t="s">
        <v>156</v>
      </c>
      <c r="U211" s="505" t="s">
        <v>129</v>
      </c>
      <c r="V211" s="505" t="s">
        <v>84</v>
      </c>
      <c r="W211" s="523" t="s">
        <v>112</v>
      </c>
      <c r="X211" s="171" t="s">
        <v>2861</v>
      </c>
      <c r="Y211" s="171">
        <v>12</v>
      </c>
      <c r="Z211" s="171">
        <v>6</v>
      </c>
      <c r="AA211" s="171" t="s">
        <v>156</v>
      </c>
      <c r="AB211" s="171" t="s">
        <v>131</v>
      </c>
      <c r="AC211" s="171">
        <v>77331</v>
      </c>
      <c r="AD211" s="529" t="s">
        <v>131</v>
      </c>
      <c r="AE211" s="171" t="s">
        <v>156</v>
      </c>
      <c r="AF211" s="525">
        <v>81350198476</v>
      </c>
      <c r="AG211" s="537" t="s">
        <v>2862</v>
      </c>
      <c r="AH211" s="524" t="s">
        <v>156</v>
      </c>
      <c r="AI211" s="524" t="s">
        <v>156</v>
      </c>
      <c r="AJ211" s="522" t="s">
        <v>2863</v>
      </c>
      <c r="AK211" s="538">
        <v>38354</v>
      </c>
      <c r="AL211" s="155" t="str">
        <f ca="1" t="shared" si="36"/>
        <v>20 Tahun 10 Bulan </v>
      </c>
      <c r="AM211" s="171" t="s">
        <v>2864</v>
      </c>
      <c r="AN211" s="171" t="s">
        <v>93</v>
      </c>
      <c r="AO211" s="171" t="s">
        <v>2865</v>
      </c>
      <c r="AP211" s="171" t="s">
        <v>95</v>
      </c>
      <c r="AQ211" s="171" t="s">
        <v>2866</v>
      </c>
      <c r="AR211" s="171" t="s">
        <v>156</v>
      </c>
      <c r="AS211" s="171" t="s">
        <v>1466</v>
      </c>
      <c r="AT211" s="171" t="s">
        <v>156</v>
      </c>
      <c r="AU211" s="171" t="s">
        <v>156</v>
      </c>
      <c r="AV211" s="525" t="s">
        <v>2867</v>
      </c>
      <c r="AW211" s="171" t="s">
        <v>100</v>
      </c>
      <c r="AX211" s="171" t="s">
        <v>120</v>
      </c>
      <c r="AY211" s="171" t="s">
        <v>234</v>
      </c>
      <c r="AZ211" s="171" t="s">
        <v>156</v>
      </c>
      <c r="BA211" s="171" t="s">
        <v>156</v>
      </c>
      <c r="BB211" s="543" t="s">
        <v>2868</v>
      </c>
      <c r="BC211" s="540" t="s">
        <v>156</v>
      </c>
      <c r="BD211" s="171" t="s">
        <v>156</v>
      </c>
      <c r="BE211" s="171" t="s">
        <v>156</v>
      </c>
      <c r="BF211" s="171" t="s">
        <v>156</v>
      </c>
      <c r="BG211" s="171" t="s">
        <v>156</v>
      </c>
      <c r="BH211" s="522" t="s">
        <v>2752</v>
      </c>
      <c r="BI211" s="171" t="s">
        <v>88</v>
      </c>
      <c r="BJ211" s="522" t="s">
        <v>2858</v>
      </c>
      <c r="BK211" s="546" t="s">
        <v>2869</v>
      </c>
    </row>
    <row r="212" s="295" customFormat="1" ht="48" spans="1:63">
      <c r="A212" s="54">
        <v>207</v>
      </c>
      <c r="B212" s="505">
        <v>4632</v>
      </c>
      <c r="C212" s="171" t="s">
        <v>2738</v>
      </c>
      <c r="D212" s="171" t="s">
        <v>2739</v>
      </c>
      <c r="E212" s="171" t="s">
        <v>2740</v>
      </c>
      <c r="F212" s="171" t="s">
        <v>156</v>
      </c>
      <c r="G212" s="507" t="s">
        <v>2870</v>
      </c>
      <c r="H212" s="171"/>
      <c r="I212" s="113" t="str">
        <f t="shared" si="39"/>
        <v>Budi Siswanto</v>
      </c>
      <c r="J212" s="171" t="s">
        <v>127</v>
      </c>
      <c r="K212" s="171" t="s">
        <v>2767</v>
      </c>
      <c r="L212" s="505" t="s">
        <v>2871</v>
      </c>
      <c r="M212" s="518">
        <v>31786</v>
      </c>
      <c r="N212" s="155" t="str">
        <f ca="1" t="shared" si="40"/>
        <v>38 Tahun 9 Bulan </v>
      </c>
      <c r="O212" s="515">
        <v>31786</v>
      </c>
      <c r="P212" s="105">
        <f ca="1" t="shared" si="44"/>
        <v>38</v>
      </c>
      <c r="Q212" s="105" t="str">
        <f ca="1" t="shared" si="45"/>
        <v>OKE</v>
      </c>
      <c r="R212" s="525" t="s">
        <v>2872</v>
      </c>
      <c r="S212" s="171" t="s">
        <v>156</v>
      </c>
      <c r="T212" s="525" t="s">
        <v>2873</v>
      </c>
      <c r="U212" s="505" t="s">
        <v>750</v>
      </c>
      <c r="V212" s="505" t="s">
        <v>84</v>
      </c>
      <c r="W212" s="523" t="s">
        <v>112</v>
      </c>
      <c r="X212" s="171" t="s">
        <v>2874</v>
      </c>
      <c r="Y212" s="171">
        <v>5</v>
      </c>
      <c r="Z212" s="171" t="s">
        <v>156</v>
      </c>
      <c r="AA212" s="171" t="s">
        <v>156</v>
      </c>
      <c r="AB212" s="171" t="s">
        <v>88</v>
      </c>
      <c r="AC212" s="171">
        <v>77311</v>
      </c>
      <c r="AD212" s="171" t="s">
        <v>88</v>
      </c>
      <c r="AE212" s="171" t="s">
        <v>156</v>
      </c>
      <c r="AF212" s="525">
        <v>85348341559</v>
      </c>
      <c r="AG212" s="537" t="s">
        <v>2875</v>
      </c>
      <c r="AH212" s="524" t="s">
        <v>156</v>
      </c>
      <c r="AI212" s="524" t="s">
        <v>156</v>
      </c>
      <c r="AJ212" s="171" t="s">
        <v>2876</v>
      </c>
      <c r="AK212" s="538">
        <v>38384</v>
      </c>
      <c r="AL212" s="155" t="str">
        <f ca="1" t="shared" si="36"/>
        <v>20 Tahun 9 Bulan </v>
      </c>
      <c r="AM212" s="171" t="s">
        <v>92</v>
      </c>
      <c r="AN212" s="171" t="s">
        <v>93</v>
      </c>
      <c r="AO212" s="171" t="s">
        <v>2877</v>
      </c>
      <c r="AP212" s="171" t="s">
        <v>95</v>
      </c>
      <c r="AQ212" s="171" t="s">
        <v>2878</v>
      </c>
      <c r="AR212" s="171" t="s">
        <v>156</v>
      </c>
      <c r="AS212" s="171" t="s">
        <v>941</v>
      </c>
      <c r="AT212" s="171" t="s">
        <v>156</v>
      </c>
      <c r="AU212" s="171" t="s">
        <v>156</v>
      </c>
      <c r="AV212" s="525" t="s">
        <v>2879</v>
      </c>
      <c r="AW212" s="171" t="s">
        <v>100</v>
      </c>
      <c r="AX212" s="171" t="s">
        <v>120</v>
      </c>
      <c r="AY212" s="171" t="s">
        <v>234</v>
      </c>
      <c r="AZ212" s="171" t="s">
        <v>156</v>
      </c>
      <c r="BA212" s="171" t="s">
        <v>156</v>
      </c>
      <c r="BB212" s="543" t="s">
        <v>2880</v>
      </c>
      <c r="BC212" s="540" t="s">
        <v>156</v>
      </c>
      <c r="BD212" s="171" t="s">
        <v>156</v>
      </c>
      <c r="BE212" s="171" t="s">
        <v>156</v>
      </c>
      <c r="BF212" s="171" t="s">
        <v>156</v>
      </c>
      <c r="BG212" s="171" t="s">
        <v>156</v>
      </c>
      <c r="BH212" s="522" t="s">
        <v>2752</v>
      </c>
      <c r="BI212" s="171" t="s">
        <v>88</v>
      </c>
      <c r="BJ212" s="171" t="s">
        <v>2870</v>
      </c>
      <c r="BK212" s="525" t="s">
        <v>2881</v>
      </c>
    </row>
    <row r="213" s="295" customFormat="1" ht="36" spans="1:63">
      <c r="A213" s="54">
        <v>208</v>
      </c>
      <c r="B213" s="505">
        <v>4633</v>
      </c>
      <c r="C213" s="171" t="s">
        <v>2738</v>
      </c>
      <c r="D213" s="171" t="s">
        <v>2739</v>
      </c>
      <c r="E213" s="171" t="s">
        <v>2740</v>
      </c>
      <c r="F213" s="171" t="s">
        <v>156</v>
      </c>
      <c r="G213" s="507" t="s">
        <v>2882</v>
      </c>
      <c r="H213" s="171"/>
      <c r="I213" s="113" t="str">
        <f t="shared" si="39"/>
        <v>Ilham Laksana Putra</v>
      </c>
      <c r="J213" s="171" t="s">
        <v>127</v>
      </c>
      <c r="K213" s="171" t="s">
        <v>2767</v>
      </c>
      <c r="L213" s="505" t="s">
        <v>2883</v>
      </c>
      <c r="M213" s="518">
        <v>30939</v>
      </c>
      <c r="N213" s="155" t="str">
        <f ca="1" t="shared" si="40"/>
        <v>41 Tahun 1 Bulan </v>
      </c>
      <c r="O213" s="515">
        <v>30939</v>
      </c>
      <c r="P213" s="105">
        <f ca="1" t="shared" si="44"/>
        <v>41</v>
      </c>
      <c r="Q213" s="105" t="str">
        <f ca="1" t="shared" si="45"/>
        <v>OKE</v>
      </c>
      <c r="R213" s="522" t="s">
        <v>2884</v>
      </c>
      <c r="S213" s="171" t="s">
        <v>156</v>
      </c>
      <c r="T213" s="171" t="s">
        <v>156</v>
      </c>
      <c r="U213" s="505" t="s">
        <v>129</v>
      </c>
      <c r="V213" s="505" t="s">
        <v>84</v>
      </c>
      <c r="W213" s="523" t="s">
        <v>112</v>
      </c>
      <c r="X213" s="171" t="s">
        <v>2885</v>
      </c>
      <c r="Y213" s="171">
        <v>5</v>
      </c>
      <c r="Z213" s="171" t="s">
        <v>156</v>
      </c>
      <c r="AA213" s="171" t="s">
        <v>156</v>
      </c>
      <c r="AB213" s="171" t="s">
        <v>88</v>
      </c>
      <c r="AC213" s="171">
        <v>77311</v>
      </c>
      <c r="AD213" s="171" t="s">
        <v>88</v>
      </c>
      <c r="AE213" s="171" t="s">
        <v>156</v>
      </c>
      <c r="AF213" s="525">
        <v>81251031859</v>
      </c>
      <c r="AG213" s="537" t="s">
        <v>2886</v>
      </c>
      <c r="AH213" s="524" t="s">
        <v>156</v>
      </c>
      <c r="AI213" s="524" t="s">
        <v>156</v>
      </c>
      <c r="AJ213" s="522" t="s">
        <v>2887</v>
      </c>
      <c r="AK213" s="533">
        <v>38718</v>
      </c>
      <c r="AL213" s="155" t="str">
        <f ca="1" t="shared" si="36"/>
        <v>19 Tahun 10 Bulan </v>
      </c>
      <c r="AM213" s="171" t="s">
        <v>92</v>
      </c>
      <c r="AN213" s="171" t="s">
        <v>93</v>
      </c>
      <c r="AO213" s="522" t="s">
        <v>2888</v>
      </c>
      <c r="AP213" s="171" t="s">
        <v>95</v>
      </c>
      <c r="AQ213" s="171" t="s">
        <v>2889</v>
      </c>
      <c r="AR213" s="171" t="s">
        <v>156</v>
      </c>
      <c r="AS213" s="171" t="s">
        <v>941</v>
      </c>
      <c r="AT213" s="171" t="s">
        <v>156</v>
      </c>
      <c r="AU213" s="171" t="s">
        <v>156</v>
      </c>
      <c r="AV213" s="525" t="s">
        <v>2890</v>
      </c>
      <c r="AW213" s="171" t="s">
        <v>100</v>
      </c>
      <c r="AX213" s="171" t="s">
        <v>120</v>
      </c>
      <c r="AY213" s="171" t="s">
        <v>234</v>
      </c>
      <c r="AZ213" s="171" t="s">
        <v>156</v>
      </c>
      <c r="BA213" s="171" t="s">
        <v>156</v>
      </c>
      <c r="BB213" s="543" t="s">
        <v>2891</v>
      </c>
      <c r="BC213" s="540" t="s">
        <v>156</v>
      </c>
      <c r="BD213" s="171" t="s">
        <v>156</v>
      </c>
      <c r="BE213" s="171" t="s">
        <v>156</v>
      </c>
      <c r="BF213" s="171" t="s">
        <v>156</v>
      </c>
      <c r="BG213" s="171" t="s">
        <v>156</v>
      </c>
      <c r="BH213" s="522" t="s">
        <v>2752</v>
      </c>
      <c r="BI213" s="171" t="s">
        <v>88</v>
      </c>
      <c r="BJ213" s="522" t="s">
        <v>2882</v>
      </c>
      <c r="BK213" s="546" t="s">
        <v>2892</v>
      </c>
    </row>
    <row r="214" s="295" customFormat="1" ht="36" spans="1:63">
      <c r="A214" s="54">
        <v>209</v>
      </c>
      <c r="B214" s="505">
        <v>4634</v>
      </c>
      <c r="C214" s="171" t="s">
        <v>2738</v>
      </c>
      <c r="D214" s="171" t="s">
        <v>2739</v>
      </c>
      <c r="E214" s="171" t="s">
        <v>2740</v>
      </c>
      <c r="F214" s="171" t="s">
        <v>156</v>
      </c>
      <c r="G214" s="507" t="s">
        <v>2893</v>
      </c>
      <c r="H214" s="171"/>
      <c r="I214" s="113" t="str">
        <f t="shared" si="39"/>
        <v>Lusdiana</v>
      </c>
      <c r="J214" s="171" t="s">
        <v>80</v>
      </c>
      <c r="K214" s="171" t="str">
        <f>IF(J214="P","Perempuan",IF(J214="L","Laki-laki"))</f>
        <v>Perempuan</v>
      </c>
      <c r="L214" s="505" t="s">
        <v>2894</v>
      </c>
      <c r="M214" s="518">
        <v>31375</v>
      </c>
      <c r="N214" s="155" t="str">
        <f ca="1" t="shared" si="40"/>
        <v>39 Tahun 11 Bulan </v>
      </c>
      <c r="O214" s="515" t="s">
        <v>2895</v>
      </c>
      <c r="P214" s="105">
        <f ca="1" t="shared" si="44"/>
        <v>39</v>
      </c>
      <c r="Q214" s="105" t="str">
        <f ca="1" t="shared" si="45"/>
        <v>OKE</v>
      </c>
      <c r="R214" s="525" t="s">
        <v>2896</v>
      </c>
      <c r="S214" s="171" t="s">
        <v>156</v>
      </c>
      <c r="T214" s="171" t="s">
        <v>156</v>
      </c>
      <c r="U214" s="505" t="s">
        <v>129</v>
      </c>
      <c r="V214" s="505" t="s">
        <v>84</v>
      </c>
      <c r="W214" s="523" t="s">
        <v>112</v>
      </c>
      <c r="X214" s="171" t="s">
        <v>2897</v>
      </c>
      <c r="Y214" s="171">
        <v>12</v>
      </c>
      <c r="Z214" s="171" t="s">
        <v>156</v>
      </c>
      <c r="AA214" s="171" t="s">
        <v>156</v>
      </c>
      <c r="AB214" s="171" t="s">
        <v>88</v>
      </c>
      <c r="AC214" s="171">
        <v>77311</v>
      </c>
      <c r="AD214" s="171" t="s">
        <v>88</v>
      </c>
      <c r="AE214" s="171" t="s">
        <v>156</v>
      </c>
      <c r="AF214" s="525">
        <v>81220181735</v>
      </c>
      <c r="AG214" s="537" t="s">
        <v>2898</v>
      </c>
      <c r="AH214" s="524" t="s">
        <v>156</v>
      </c>
      <c r="AI214" s="524" t="s">
        <v>156</v>
      </c>
      <c r="AJ214" s="171" t="s">
        <v>2899</v>
      </c>
      <c r="AK214" s="538">
        <v>41671</v>
      </c>
      <c r="AL214" s="155" t="str">
        <f ca="1" t="shared" si="36"/>
        <v>11 Tahun 9 Bulan </v>
      </c>
      <c r="AM214" s="171" t="s">
        <v>136</v>
      </c>
      <c r="AN214" s="171" t="s">
        <v>93</v>
      </c>
      <c r="AO214" s="171" t="s">
        <v>2900</v>
      </c>
      <c r="AP214" s="171" t="s">
        <v>169</v>
      </c>
      <c r="AQ214" s="171" t="s">
        <v>156</v>
      </c>
      <c r="AR214" s="171" t="s">
        <v>156</v>
      </c>
      <c r="AS214" s="171" t="s">
        <v>156</v>
      </c>
      <c r="AT214" s="171" t="s">
        <v>156</v>
      </c>
      <c r="AU214" s="171" t="s">
        <v>156</v>
      </c>
      <c r="AV214" s="525" t="s">
        <v>156</v>
      </c>
      <c r="AW214" s="171" t="s">
        <v>100</v>
      </c>
      <c r="AX214" s="171" t="s">
        <v>120</v>
      </c>
      <c r="AY214" s="171" t="s">
        <v>2901</v>
      </c>
      <c r="AZ214" s="171" t="s">
        <v>156</v>
      </c>
      <c r="BA214" s="171" t="s">
        <v>156</v>
      </c>
      <c r="BB214" s="543" t="s">
        <v>2902</v>
      </c>
      <c r="BC214" s="540" t="s">
        <v>156</v>
      </c>
      <c r="BD214" s="171" t="s">
        <v>156</v>
      </c>
      <c r="BE214" s="171" t="s">
        <v>156</v>
      </c>
      <c r="BF214" s="171" t="s">
        <v>156</v>
      </c>
      <c r="BG214" s="171" t="s">
        <v>156</v>
      </c>
      <c r="BH214" s="522" t="s">
        <v>2752</v>
      </c>
      <c r="BI214" s="171" t="s">
        <v>88</v>
      </c>
      <c r="BJ214" s="171" t="s">
        <v>2893</v>
      </c>
      <c r="BK214" s="525" t="s">
        <v>2903</v>
      </c>
    </row>
    <row r="215" s="295" customFormat="1" spans="1:63">
      <c r="A215" s="54">
        <v>210</v>
      </c>
      <c r="B215" s="505">
        <v>5473</v>
      </c>
      <c r="C215" s="171" t="s">
        <v>2738</v>
      </c>
      <c r="D215" s="171" t="s">
        <v>2739</v>
      </c>
      <c r="E215" s="171" t="s">
        <v>2740</v>
      </c>
      <c r="F215" s="171" t="s">
        <v>156</v>
      </c>
      <c r="G215" s="507" t="s">
        <v>2904</v>
      </c>
      <c r="H215" s="171" t="s">
        <v>177</v>
      </c>
      <c r="I215" s="113" t="str">
        <f t="shared" si="39"/>
        <v>Agustam, S.Pd</v>
      </c>
      <c r="J215" s="171" t="s">
        <v>127</v>
      </c>
      <c r="K215" s="171" t="s">
        <v>2767</v>
      </c>
      <c r="L215" s="505" t="s">
        <v>2768</v>
      </c>
      <c r="M215" s="518">
        <v>33093</v>
      </c>
      <c r="N215" s="155" t="str">
        <f ca="1" t="shared" si="40"/>
        <v>35 Tahun 2 Bulan </v>
      </c>
      <c r="O215" s="518">
        <v>33093</v>
      </c>
      <c r="P215" s="105">
        <f ca="1" t="shared" si="44"/>
        <v>35</v>
      </c>
      <c r="Q215" s="105" t="str">
        <f ca="1" t="shared" si="45"/>
        <v>OKE</v>
      </c>
      <c r="R215" s="522" t="s">
        <v>2905</v>
      </c>
      <c r="S215" s="171" t="s">
        <v>156</v>
      </c>
      <c r="T215" s="171" t="s">
        <v>156</v>
      </c>
      <c r="U215" s="505" t="s">
        <v>2758</v>
      </c>
      <c r="V215" s="505" t="s">
        <v>84</v>
      </c>
      <c r="W215" s="523" t="s">
        <v>112</v>
      </c>
      <c r="X215" s="522" t="s">
        <v>2906</v>
      </c>
      <c r="Y215" s="522">
        <v>3</v>
      </c>
      <c r="Z215" s="522" t="s">
        <v>156</v>
      </c>
      <c r="AA215" s="171" t="s">
        <v>156</v>
      </c>
      <c r="AB215" s="522" t="s">
        <v>212</v>
      </c>
      <c r="AC215" s="522">
        <v>77311</v>
      </c>
      <c r="AD215" s="171" t="s">
        <v>88</v>
      </c>
      <c r="AE215" s="522" t="s">
        <v>2907</v>
      </c>
      <c r="AF215" s="522" t="s">
        <v>2908</v>
      </c>
      <c r="AG215" s="522" t="s">
        <v>2909</v>
      </c>
      <c r="AH215" s="524" t="s">
        <v>156</v>
      </c>
      <c r="AI215" s="524" t="s">
        <v>156</v>
      </c>
      <c r="AJ215" s="522" t="s">
        <v>2910</v>
      </c>
      <c r="AK215" s="533">
        <v>42282</v>
      </c>
      <c r="AL215" s="155" t="str">
        <f ca="1" t="shared" si="36"/>
        <v>10 Tahun 0 Bulan </v>
      </c>
      <c r="AM215" s="522" t="s">
        <v>92</v>
      </c>
      <c r="AN215" s="171" t="s">
        <v>93</v>
      </c>
      <c r="AO215" s="522" t="s">
        <v>2911</v>
      </c>
      <c r="AP215" s="171" t="s">
        <v>297</v>
      </c>
      <c r="AQ215" s="171" t="s">
        <v>156</v>
      </c>
      <c r="AR215" s="171" t="s">
        <v>156</v>
      </c>
      <c r="AS215" s="171" t="s">
        <v>156</v>
      </c>
      <c r="AT215" s="171" t="s">
        <v>156</v>
      </c>
      <c r="AU215" s="171" t="s">
        <v>156</v>
      </c>
      <c r="AV215" s="525" t="s">
        <v>156</v>
      </c>
      <c r="AW215" s="171" t="s">
        <v>100</v>
      </c>
      <c r="AX215" s="171" t="s">
        <v>101</v>
      </c>
      <c r="AY215" s="171" t="s">
        <v>2265</v>
      </c>
      <c r="AZ215" s="171" t="s">
        <v>156</v>
      </c>
      <c r="BA215" s="171" t="s">
        <v>156</v>
      </c>
      <c r="BB215" s="545" t="s">
        <v>156</v>
      </c>
      <c r="BC215" s="540" t="s">
        <v>2912</v>
      </c>
      <c r="BD215" s="171" t="s">
        <v>156</v>
      </c>
      <c r="BE215" s="171">
        <v>24</v>
      </c>
      <c r="BF215" s="171">
        <v>24</v>
      </c>
      <c r="BG215" s="171" t="s">
        <v>156</v>
      </c>
      <c r="BH215" s="522" t="s">
        <v>2752</v>
      </c>
      <c r="BI215" s="171" t="s">
        <v>88</v>
      </c>
      <c r="BJ215" s="522" t="s">
        <v>2904</v>
      </c>
      <c r="BK215" s="546" t="s">
        <v>2913</v>
      </c>
    </row>
    <row r="216" spans="2:31">
      <c r="B216" s="508"/>
      <c r="I216" s="1"/>
      <c r="K216" s="519"/>
      <c r="L216" s="39"/>
      <c r="M216" s="39"/>
      <c r="AB216" s="530"/>
      <c r="AC216" s="39"/>
      <c r="AD216" s="39"/>
      <c r="AE216" s="39"/>
    </row>
    <row r="217" spans="9:31">
      <c r="I217" s="1"/>
      <c r="K217" s="520"/>
      <c r="L217" s="39"/>
      <c r="M217" s="39"/>
      <c r="T217" s="526"/>
      <c r="AB217" s="530"/>
      <c r="AC217" s="39"/>
      <c r="AD217" s="39"/>
      <c r="AE217" s="39"/>
    </row>
    <row r="218" spans="9:31">
      <c r="I218" s="1"/>
      <c r="K218" s="520"/>
      <c r="L218" s="39"/>
      <c r="M218" s="39"/>
      <c r="T218" s="527"/>
      <c r="AB218" s="530"/>
      <c r="AC218" s="39"/>
      <c r="AD218" s="39"/>
      <c r="AE218" s="39"/>
    </row>
    <row r="219" spans="9:31">
      <c r="I219" s="1"/>
      <c r="K219" s="520"/>
      <c r="L219" s="39"/>
      <c r="M219" s="39"/>
      <c r="T219" s="527"/>
      <c r="AB219" s="530"/>
      <c r="AC219" s="39"/>
      <c r="AD219" s="39"/>
      <c r="AE219" s="39"/>
    </row>
    <row r="220" spans="9:31">
      <c r="I220" s="1"/>
      <c r="K220" s="520"/>
      <c r="L220" s="39"/>
      <c r="M220" s="39"/>
      <c r="T220" s="527"/>
      <c r="AB220" s="530"/>
      <c r="AC220" s="39"/>
      <c r="AD220" s="39"/>
      <c r="AE220" s="39"/>
    </row>
    <row r="221" spans="9:31">
      <c r="I221" s="1"/>
      <c r="K221" s="520"/>
      <c r="L221" s="39"/>
      <c r="M221" s="39"/>
      <c r="T221" s="527"/>
      <c r="AB221" s="530"/>
      <c r="AC221" s="39"/>
      <c r="AD221" s="39"/>
      <c r="AE221" s="39"/>
    </row>
    <row r="222" spans="9:31">
      <c r="I222" s="1"/>
      <c r="L222" s="39"/>
      <c r="M222" s="39"/>
      <c r="AB222" s="530"/>
      <c r="AC222" s="39"/>
      <c r="AD222" s="39"/>
      <c r="AE222" s="39"/>
    </row>
    <row r="223" spans="9:31">
      <c r="I223" s="1"/>
      <c r="L223" s="39"/>
      <c r="M223" s="39"/>
      <c r="AB223" s="530"/>
      <c r="AC223" s="39"/>
      <c r="AD223" s="39"/>
      <c r="AE223" s="39"/>
    </row>
    <row r="224" spans="9:31">
      <c r="I224" s="1"/>
      <c r="L224" s="39"/>
      <c r="M224" s="39"/>
      <c r="AB224" s="530"/>
      <c r="AC224" s="39"/>
      <c r="AD224" s="39"/>
      <c r="AE224" s="39"/>
    </row>
    <row r="225" spans="9:31">
      <c r="I225" s="1"/>
      <c r="L225" s="39"/>
      <c r="M225" s="39"/>
      <c r="AB225" s="530"/>
      <c r="AC225" s="39"/>
      <c r="AD225" s="39"/>
      <c r="AE225" s="39"/>
    </row>
    <row r="226" spans="13:31">
      <c r="M226" s="39"/>
      <c r="AB226" s="530"/>
      <c r="AC226" s="39"/>
      <c r="AD226" s="39"/>
      <c r="AE226" s="39"/>
    </row>
    <row r="227" spans="28:31">
      <c r="AB227" s="530"/>
      <c r="AC227" s="39"/>
      <c r="AD227" s="39"/>
      <c r="AE227" s="39"/>
    </row>
  </sheetData>
  <mergeCells count="3">
    <mergeCell ref="A1:BK1"/>
    <mergeCell ref="A2:BK2"/>
    <mergeCell ref="A3:BK3"/>
  </mergeCells>
  <conditionalFormatting sqref="R84:R215">
    <cfRule type="duplicateValues" dxfId="0" priority="1"/>
  </conditionalFormatting>
  <hyperlinks>
    <hyperlink ref="AG6" r:id="rId2" display="smansaberau_smart@yahoo.com"/>
    <hyperlink ref="AG8" r:id="rId3" display="heryawand88@gmail.com"/>
    <hyperlink ref="AG30" r:id="rId4" display="happy.megasari@gmail.com"/>
    <hyperlink ref="AG19" r:id="rId5" display="gurubindo9@gmail.com"/>
    <hyperlink ref="AG20" r:id="rId6" display="diahvega81@gmail.com"/>
    <hyperlink ref="AG25" r:id="rId7" display="nurhalimahSulaiman@gmail.com"/>
    <hyperlink ref="AG28" r:id="rId8" display="suparta88.tangru@gmail.com"/>
    <hyperlink ref="AG29" r:id="rId9" display="Syamsuddin_ardin@yahoo.com"/>
    <hyperlink ref="AG31" r:id="rId10" display="Rusdiani07031984@gmail.com"/>
    <hyperlink ref="AG41" r:id="rId11" display="Rifanrafli976@gmail.com"/>
    <hyperlink ref="AG38" r:id="rId12" display="rianiarief02@gmail.com"/>
    <hyperlink ref="AG34" r:id="rId13" display="antonsinar69@gmail.com "/>
    <hyperlink ref="AG35" r:id="rId14" display="anwarmakassar50@gmail.com "/>
    <hyperlink ref="AG36" r:id="rId15" display="Bay_you69@yahoo.co.id "/>
    <hyperlink ref="AG37" r:id="rId16" display="phaluntai@gmail.com "/>
    <hyperlink ref="AG39" r:id="rId17" display="watihasma834@gmail.com "/>
    <hyperlink ref="AG40" r:id="rId18" display="faidahsantoso@gmail.com "/>
    <hyperlink ref="AG44" r:id="rId19" display="gibran.curut@gmail.vom"/>
    <hyperlink ref="AG42" r:id="rId20" display="utammio607@gmail.com"/>
    <hyperlink ref="AG43" r:id="rId21" display="dewisariratna28@yahoo.co.id "/>
    <hyperlink ref="H65" r:id="rId22" display="S.Pd"/>
    <hyperlink ref="H66" r:id="rId22" display="S.Pd"/>
    <hyperlink ref="H68" r:id="rId22" display="S.Pd"/>
    <hyperlink ref="H69" r:id="rId22" display="S.Pd"/>
    <hyperlink ref="H70" r:id="rId23" display="S.Si"/>
    <hyperlink ref="H71" r:id="rId22" display="S.Pd"/>
    <hyperlink ref="H74" r:id="rId22" display="S.Pd"/>
    <hyperlink ref="H75" r:id="rId22" display="S.Pd"/>
    <hyperlink ref="AG75" r:id="rId24" display="yennirusanda@gamail.com"/>
    <hyperlink ref="AG90" r:id="rId25" display="lhiena86@gmail.com"/>
    <hyperlink ref="AG84" r:id="rId26" display="enie_aquarius@yahoo.co.id"/>
    <hyperlink ref="AG85" r:id="rId27" display="uum2509@gmail.com"/>
    <hyperlink ref="AG86" r:id="rId28" display="fenyws@gmail.com"/>
    <hyperlink ref="AG87" r:id="rId29" display="Munawaralvinaku@gmail.com"/>
    <hyperlink ref="AG88" r:id="rId30" display="meemeyjasmine@yahoo.com"/>
    <hyperlink ref="AG89" r:id="rId31" display="yayan.fikri@yahoo.com"/>
    <hyperlink ref="AG91" r:id="rId32" display="ayoe.manis79@gmail.com"/>
    <hyperlink ref="AG92" r:id="rId33" display="Ellazahratuljannah@yahoo.co.id"/>
    <hyperlink ref="AG93" r:id="rId34" display="amirsatpam@gmail.com"/>
    <hyperlink ref="AG94" r:id="rId35" display="setyowahyono82@gmail.com"/>
    <hyperlink ref="AG95" r:id="rId36" display="dwizy13@gmail.com"/>
    <hyperlink ref="AG96" r:id="rId37" display="ahyanihandoko1@gmail.com"/>
    <hyperlink ref="AG97" r:id="rId38" display="ropika.syafiq@gmail.com"/>
    <hyperlink ref="AG98" r:id="rId39" display="princescha88@gmail.com"/>
    <hyperlink ref="AG101" r:id="rId40" display="lianita2887@gmail.com"/>
    <hyperlink ref="AG102" r:id="rId41" display="rumaishamilhan34@gmail.com"/>
    <hyperlink ref="AG103" r:id="rId42" display="chairani.ihay@gmail.com"/>
    <hyperlink ref="AG104" r:id="rId43" display="andien628@gmail.com"/>
    <hyperlink ref="AG105" r:id="rId44" display="hafsahumar01@gmail.com"/>
    <hyperlink ref="AG106" r:id="rId45" display="sugiantoaja099@gmail.com"/>
    <hyperlink ref="AG107" r:id="rId46" display="ichahairun0119@gmail.com"/>
    <hyperlink ref="AG108" r:id="rId47" display="sitifaujiah.sf@gmail.com"/>
    <hyperlink ref="AG109" r:id="rId48" display="noverita.rahmadiani10@gamil.com"/>
    <hyperlink ref="AG111" r:id="rId49" display="arizona12@yahoo.com"/>
    <hyperlink ref="AG112" r:id="rId50" display="Tuminahakuntansi@yahoo.co.id"/>
    <hyperlink ref="AG113" r:id="rId51" display="liliyanti009@gmail.com"/>
    <hyperlink ref="AG114" r:id="rId52" display="herlinaparrangan@gmail.com"/>
    <hyperlink ref="AG115" r:id="rId53" display="Sujatmono.maratua@gmail,com"/>
    <hyperlink ref="AG116" r:id="rId54" display="dedydelfa@gmail.com"/>
    <hyperlink ref="AG117" r:id="rId55" display="Husnan006sman9@gmail.com"/>
    <hyperlink ref="AG118" r:id="rId56" display="matiusrerung6@gmail.com"/>
    <hyperlink ref="AG119" r:id="rId57" display="valentine_risca@yahoo.com"/>
    <hyperlink ref="AG120" r:id="rId58" display="Werdhywewen@yahoo.com"/>
    <hyperlink ref="AG121" r:id="rId59" display="Frifai120@gmail.com"/>
    <hyperlink ref="AG122" r:id="rId60" display="Kurasyihab@.com"/>
    <hyperlink ref="AG123" r:id="rId61" display="Yohaneskarapa4@gmail.com"/>
    <hyperlink ref="AG124" r:id="rId62" display="Ikaamelia1993@gmail.com"/>
    <hyperlink ref="AG135" r:id="rId63" display="Efnie.ani@gmail.com@gmail.com"/>
    <hyperlink ref="AG143" r:id="rId11" display="irasman11@gmail.com"/>
    <hyperlink ref="AG144" r:id="rId20" display="susilaningsihsyamsuri@gmail.com"/>
    <hyperlink ref="AG155" r:id="rId64" display="martenm@rockelmail.com"/>
    <hyperlink ref="AG166" r:id="rId65" display="norhasanah.suryana@yahoo.com"/>
    <hyperlink ref="AG164" r:id="rId66" display="sarilaila33@gmail.com"/>
    <hyperlink ref="AG147" r:id="rId67" display="dianarita717@yahoo.com"/>
    <hyperlink ref="AG165" r:id="rId68" display="muhammadtarif655@gmail.com"/>
    <hyperlink ref="AG152" r:id="rId69" display="akhwateuy27@yahoo.co.id"/>
    <hyperlink ref="AG154" r:id="rId70" display="mariasa.spd@gmail.com"/>
    <hyperlink ref="AG151" r:id="rId71" display="haryonoabdurahman89@gmail.com"/>
    <hyperlink ref="AG168" r:id="rId72" display="intanprihatini681@gmail.com"/>
    <hyperlink ref="AG170" r:id="rId73" display="dhimaz760@gmail.com"/>
    <hyperlink ref="AG182" r:id="rId74" display="Aguspurnawan67@yahoo.com"/>
    <hyperlink ref="AG181" r:id="rId75" display="nelahastina4@gmail.com"/>
    <hyperlink ref="AG179" r:id="rId76" display="nurhidayana797@gmail.com"/>
    <hyperlink ref="AG178" r:id="rId77" display="wulanchemist047@gmail.com"/>
    <hyperlink ref="AG180" r:id="rId78" display="arfahahmad92@yahoo.co.id"/>
    <hyperlink ref="AG172" r:id="rId79" display="Yohanismp16@gmail.com"/>
    <hyperlink ref="AG198" r:id="rId80" display="suhaimi.albuchaerah@gmail.com"/>
    <hyperlink ref="AG197" r:id="rId81" display="Bahriana28@yahoo.com"/>
    <hyperlink ref="AG196" r:id="rId82" display="budiantoalfatih@gmail.com"/>
    <hyperlink ref="AG195" r:id="rId83" display="liatajlia@gmail.com"/>
    <hyperlink ref="AG199" r:id="rId84" display="zubair.sman14@gmail.com"/>
    <hyperlink ref="AG194" r:id="rId85" display="mariarantepakku@gmail.com"/>
    <hyperlink ref="AG189" r:id="rId86" display="f4lm4_koetai@ymail.com"/>
    <hyperlink ref="AG188" r:id="rId87" display="evialisandi@gmail.com"/>
    <hyperlink ref="AG192" r:id="rId88" display="mr.voetra@gmail.com"/>
    <hyperlink ref="AG208" r:id="rId89" display="kendedes0707@gmail.com"/>
    <hyperlink ref="AG209" r:id="rId90" display="chiaabdul1979@gmail.com"/>
    <hyperlink ref="AG210" r:id="rId91" display="glawyou_1000@yahoo.com"/>
    <hyperlink ref="AG211" r:id="rId92" display="nawanisakiki@com"/>
    <hyperlink ref="AG214" r:id="rId93" display="fhinaunyugalawslalu@yahoo.com"/>
    <hyperlink ref="AG212" r:id="rId94" display="siswantobudi00@gmail.com"/>
    <hyperlink ref="AG207" r:id="rId95" display="bambangwidiyatno46@gmail.com"/>
    <hyperlink ref="AG206" r:id="rId96" display="yuliasuwarliani@gmail.com"/>
    <hyperlink ref="AG204" r:id="rId97" display="Hadiprabowo109@gmail.com"/>
    <hyperlink ref="AG213" r:id="rId98" display="zackyrafa@gmail.com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T63"/>
  <sheetViews>
    <sheetView topLeftCell="A56" workbookViewId="0">
      <selection activeCell="G68" sqref="G68"/>
    </sheetView>
  </sheetViews>
  <sheetFormatPr defaultColWidth="9" defaultRowHeight="14.5"/>
  <cols>
    <col min="1" max="1" width="3.57272727272727" customWidth="1"/>
    <col min="2" max="2" width="7.28181818181818" customWidth="1"/>
    <col min="3" max="3" width="10.1363636363636" customWidth="1"/>
    <col min="4" max="4" width="7.70909090909091" customWidth="1"/>
    <col min="5" max="5" width="13.7090909090909" customWidth="1"/>
    <col min="6" max="6" width="12" customWidth="1"/>
    <col min="7" max="7" width="21" customWidth="1"/>
    <col min="8" max="8" width="14.4272727272727" customWidth="1"/>
    <col min="9" max="9" width="25.2818181818182" customWidth="1"/>
    <col min="10" max="10" width="13.2818181818182" customWidth="1"/>
    <col min="11" max="11" width="2.85454545454545" customWidth="1"/>
    <col min="12" max="12" width="14.2818181818182" customWidth="1"/>
    <col min="13" max="13" width="12" customWidth="1"/>
    <col min="14" max="14" width="17.4272727272727" customWidth="1"/>
    <col min="15" max="15" width="18.2818181818182" customWidth="1"/>
    <col min="16" max="16" width="17.4272727272727" customWidth="1"/>
    <col min="17" max="17" width="10.7090909090909" customWidth="1"/>
    <col min="18" max="18" width="17.2818181818182" customWidth="1"/>
    <col min="19" max="19" width="4.13636363636364" customWidth="1"/>
    <col min="20" max="20" width="7.13636363636364" customWidth="1"/>
    <col min="21" max="21" width="26.8545454545455" customWidth="1"/>
    <col min="22" max="22" width="21" customWidth="1"/>
    <col min="23" max="23" width="7" customWidth="1"/>
    <col min="24" max="24" width="36.1363636363636" customWidth="1"/>
    <col min="25" max="25" width="3.13636363636364" customWidth="1"/>
    <col min="26" max="26" width="4.13636363636364" customWidth="1"/>
    <col min="27" max="27" width="6.57272727272727" customWidth="1"/>
    <col min="28" max="28" width="15.2818181818182" customWidth="1"/>
    <col min="30" max="30" width="14.2818181818182" customWidth="1"/>
    <col min="31" max="31" width="15" customWidth="1"/>
    <col min="32" max="32" width="13.1363636363636" customWidth="1"/>
    <col min="33" max="33" width="31" customWidth="1"/>
    <col min="34" max="34" width="8.28181818181818" customWidth="1"/>
    <col min="35" max="35" width="12.8545454545455" customWidth="1"/>
    <col min="36" max="36" width="33.4272727272727" customWidth="1"/>
    <col min="37" max="38" width="23" customWidth="1"/>
    <col min="39" max="39" width="20.2818181818182" customWidth="1"/>
    <col min="40" max="40" width="13.5727272727273" customWidth="1"/>
    <col min="41" max="41" width="17.8545454545455" customWidth="1"/>
    <col min="42" max="42" width="17.5727272727273" customWidth="1"/>
    <col min="43" max="43" width="21.7090909090909" customWidth="1"/>
    <col min="44" max="44" width="20.5727272727273" customWidth="1"/>
    <col min="45" max="45" width="20.2818181818182" customWidth="1"/>
    <col min="46" max="46" width="8.85454545454546" customWidth="1"/>
    <col min="47" max="47" width="21.1363636363636" customWidth="1"/>
    <col min="48" max="48" width="19.2818181818182" customWidth="1"/>
    <col min="49" max="49" width="10.5727272727273" customWidth="1"/>
    <col min="50" max="50" width="19" customWidth="1"/>
    <col min="51" max="51" width="38.5727272727273" customWidth="1"/>
    <col min="52" max="52" width="15" customWidth="1"/>
    <col min="53" max="53" width="9.85454545454546" customWidth="1"/>
    <col min="54" max="54" width="15.7090909090909" customWidth="1"/>
    <col min="55" max="55" width="79.7090909090909" customWidth="1"/>
    <col min="56" max="56" width="20.8545454545455" customWidth="1"/>
    <col min="57" max="57" width="4.28181818181818" customWidth="1"/>
    <col min="59" max="59" width="11.7090909090909" customWidth="1"/>
    <col min="60" max="60" width="10.8545454545455" customWidth="1"/>
    <col min="61" max="61" width="14.2818181818182" customWidth="1"/>
    <col min="62" max="62" width="26.4272727272727" customWidth="1"/>
    <col min="63" max="63" width="16" customWidth="1"/>
  </cols>
  <sheetData>
    <row r="1" s="1" customFormat="1" spans="1:65">
      <c r="A1" s="46" t="s">
        <v>2914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M1" s="284"/>
    </row>
    <row r="2" s="1" customFormat="1" spans="1:65">
      <c r="A2" s="46" t="s">
        <v>10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M2" s="284"/>
    </row>
    <row r="3" s="1" customFormat="1" spans="1:65">
      <c r="A3" s="46" t="s">
        <v>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M3" s="284"/>
    </row>
    <row r="4" s="1" customFormat="1" spans="3:65">
      <c r="C4" s="5"/>
      <c r="D4" s="5"/>
      <c r="E4" s="5"/>
      <c r="G4" s="5"/>
      <c r="H4" s="5"/>
      <c r="I4" s="5"/>
      <c r="J4" s="5"/>
      <c r="K4" s="5"/>
      <c r="L4" s="5"/>
      <c r="M4" s="101"/>
      <c r="O4" s="101"/>
      <c r="P4" s="101"/>
      <c r="Q4" s="101"/>
      <c r="R4" s="101"/>
      <c r="U4" s="5"/>
      <c r="V4" s="5"/>
      <c r="W4" s="5"/>
      <c r="AB4" s="5"/>
      <c r="AC4" s="101"/>
      <c r="AD4" s="5"/>
      <c r="AF4" s="101"/>
      <c r="AG4" s="5"/>
      <c r="AJ4" s="5"/>
      <c r="AK4" s="5"/>
      <c r="AL4" s="5"/>
      <c r="AM4" s="5"/>
      <c r="AN4" s="5"/>
      <c r="AO4" s="5"/>
      <c r="AP4" s="101"/>
      <c r="AQ4" s="5"/>
      <c r="AS4" s="5"/>
      <c r="AU4" s="5"/>
      <c r="AW4" s="5"/>
      <c r="AX4" s="5"/>
      <c r="AY4" s="5"/>
      <c r="BB4" s="5"/>
      <c r="BI4" s="5"/>
      <c r="BK4" s="101"/>
      <c r="BM4" s="284"/>
    </row>
    <row r="5" s="1" customFormat="1" spans="1:65">
      <c r="A5" s="6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8" t="s">
        <v>24</v>
      </c>
      <c r="N5" s="6" t="s">
        <v>25</v>
      </c>
      <c r="O5" s="6" t="s">
        <v>26</v>
      </c>
      <c r="P5" s="6" t="s">
        <v>25</v>
      </c>
      <c r="Q5" s="6" t="s">
        <v>27</v>
      </c>
      <c r="R5" s="6" t="s">
        <v>28</v>
      </c>
      <c r="S5" s="6" t="s">
        <v>29</v>
      </c>
      <c r="T5" s="6" t="s">
        <v>30</v>
      </c>
      <c r="U5" s="7" t="s">
        <v>31</v>
      </c>
      <c r="V5" s="7" t="s">
        <v>32</v>
      </c>
      <c r="W5" s="7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7" t="s">
        <v>38</v>
      </c>
      <c r="AC5" s="8" t="s">
        <v>39</v>
      </c>
      <c r="AD5" s="7" t="s">
        <v>40</v>
      </c>
      <c r="AE5" s="6" t="s">
        <v>41</v>
      </c>
      <c r="AF5" s="8" t="s">
        <v>42</v>
      </c>
      <c r="AG5" s="7" t="s">
        <v>43</v>
      </c>
      <c r="AH5" s="6" t="s">
        <v>44</v>
      </c>
      <c r="AI5" s="6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6" t="s">
        <v>51</v>
      </c>
      <c r="AP5" s="8" t="s">
        <v>52</v>
      </c>
      <c r="AQ5" s="7" t="s">
        <v>53</v>
      </c>
      <c r="AR5" s="6" t="s">
        <v>54</v>
      </c>
      <c r="AS5" s="7" t="s">
        <v>55</v>
      </c>
      <c r="AT5" s="6" t="s">
        <v>56</v>
      </c>
      <c r="AU5" s="7" t="s">
        <v>57</v>
      </c>
      <c r="AV5" s="6" t="s">
        <v>58</v>
      </c>
      <c r="AW5" s="7" t="s">
        <v>59</v>
      </c>
      <c r="AX5" s="7" t="s">
        <v>60</v>
      </c>
      <c r="AY5" s="7" t="s">
        <v>61</v>
      </c>
      <c r="AZ5" s="6" t="s">
        <v>62</v>
      </c>
      <c r="BA5" s="6" t="s">
        <v>63</v>
      </c>
      <c r="BB5" s="7" t="s">
        <v>64</v>
      </c>
      <c r="BC5" s="6" t="s">
        <v>65</v>
      </c>
      <c r="BD5" s="6" t="s">
        <v>66</v>
      </c>
      <c r="BE5" s="6" t="s">
        <v>67</v>
      </c>
      <c r="BF5" s="6" t="s">
        <v>68</v>
      </c>
      <c r="BG5" s="6" t="s">
        <v>69</v>
      </c>
      <c r="BH5" s="6" t="s">
        <v>70</v>
      </c>
      <c r="BI5" s="7" t="s">
        <v>71</v>
      </c>
      <c r="BJ5" s="6" t="s">
        <v>72</v>
      </c>
      <c r="BK5" s="6" t="s">
        <v>73</v>
      </c>
      <c r="BM5" s="284"/>
    </row>
    <row r="6" spans="1:63">
      <c r="A6" s="10">
        <v>1</v>
      </c>
      <c r="B6" s="10"/>
      <c r="C6" s="10" t="s">
        <v>75</v>
      </c>
      <c r="D6" s="10" t="s">
        <v>76</v>
      </c>
      <c r="E6" s="10" t="s">
        <v>77</v>
      </c>
      <c r="F6" s="10"/>
      <c r="G6" s="14" t="s">
        <v>2915</v>
      </c>
      <c r="H6" s="10" t="s">
        <v>394</v>
      </c>
      <c r="I6" s="102" t="str">
        <f t="shared" ref="I6:I62" si="0">IF(H6&lt;&gt;"",G6&amp;", "&amp;H6,G6)</f>
        <v>EVIE PRATIWI, S.Hum</v>
      </c>
      <c r="J6" s="10" t="s">
        <v>80</v>
      </c>
      <c r="K6" s="102" t="str">
        <f>IF(J6="P","Perempuan",IF(J6="L","Laki-laki"))</f>
        <v>Perempuan</v>
      </c>
      <c r="L6" s="12" t="s">
        <v>690</v>
      </c>
      <c r="M6" s="13">
        <v>34454</v>
      </c>
      <c r="N6" s="103" t="str">
        <f ca="1" t="shared" ref="N6:N7" si="1">+DATEDIF(M6,NOW(),"Y")&amp;" Tahun "&amp;+DATEDIF(M6,NOW(),"YM")&amp;" Bulan "</f>
        <v>31 Tahun 6 Bulan </v>
      </c>
      <c r="O6" s="104">
        <v>34454</v>
      </c>
      <c r="P6" s="105">
        <f ca="1" t="shared" ref="P6:P30" si="2">+DATEDIF(O6,NOW(),"Y")</f>
        <v>31</v>
      </c>
      <c r="Q6" s="105" t="str">
        <f ca="1" t="shared" ref="Q6:Q40" si="3">IF(P6&gt;56,"Lewat","OKE")</f>
        <v>OKE</v>
      </c>
      <c r="R6" s="34" t="s">
        <v>2916</v>
      </c>
      <c r="S6" s="10"/>
      <c r="T6" s="10"/>
      <c r="U6" s="12" t="s">
        <v>83</v>
      </c>
      <c r="V6" s="52" t="s">
        <v>2917</v>
      </c>
      <c r="W6" s="10" t="s">
        <v>112</v>
      </c>
      <c r="X6" s="10" t="s">
        <v>2918</v>
      </c>
      <c r="Y6" s="10">
        <v>14</v>
      </c>
      <c r="Z6" s="10"/>
      <c r="AA6" s="10"/>
      <c r="AB6" s="10" t="s">
        <v>131</v>
      </c>
      <c r="AC6" s="10">
        <v>77315</v>
      </c>
      <c r="AD6" s="10" t="s">
        <v>131</v>
      </c>
      <c r="AE6" s="10"/>
      <c r="AF6" s="642" t="s">
        <v>2919</v>
      </c>
      <c r="AG6" s="10" t="s">
        <v>2920</v>
      </c>
      <c r="AH6" s="10"/>
      <c r="AI6" s="10"/>
      <c r="AJ6" s="33" t="s">
        <v>2921</v>
      </c>
      <c r="AK6" s="206">
        <v>42980</v>
      </c>
      <c r="AL6" s="207" t="str">
        <f ca="1" t="shared" ref="AL6:AL63" si="4">+DATEDIF(AK6,NOW(),"Y")&amp;" Tahun "&amp;+DATEDIF(AK6,NOW(),"YM")&amp;" Bulan "</f>
        <v>8 Tahun 2 Bulan </v>
      </c>
      <c r="AM6" s="10" t="s">
        <v>92</v>
      </c>
      <c r="AN6" s="10" t="s">
        <v>2922</v>
      </c>
      <c r="AO6" s="10" t="s">
        <v>2923</v>
      </c>
      <c r="AP6" s="38" t="s">
        <v>297</v>
      </c>
      <c r="AQ6" s="10"/>
      <c r="AR6" s="10"/>
      <c r="AS6" s="10"/>
      <c r="AT6" s="10"/>
      <c r="AU6" s="10"/>
      <c r="AV6" s="10"/>
      <c r="AW6" s="267" t="s">
        <v>100</v>
      </c>
      <c r="AX6" s="267" t="s">
        <v>101</v>
      </c>
      <c r="AY6" s="12" t="s">
        <v>456</v>
      </c>
      <c r="AZ6" s="10"/>
      <c r="BA6" s="12"/>
      <c r="BB6" s="12"/>
      <c r="BC6" s="12" t="s">
        <v>457</v>
      </c>
      <c r="BD6" s="12"/>
      <c r="BE6" s="12">
        <v>20</v>
      </c>
      <c r="BF6" s="12">
        <v>20</v>
      </c>
      <c r="BG6" s="10" t="s">
        <v>456</v>
      </c>
      <c r="BH6" s="281" t="s">
        <v>526</v>
      </c>
      <c r="BI6" s="10" t="s">
        <v>131</v>
      </c>
      <c r="BJ6" s="38" t="s">
        <v>2915</v>
      </c>
      <c r="BK6" s="282">
        <v>1122059673</v>
      </c>
    </row>
    <row r="7" spans="1:63">
      <c r="A7" s="47">
        <v>2</v>
      </c>
      <c r="B7" s="48"/>
      <c r="C7" s="48" t="s">
        <v>75</v>
      </c>
      <c r="D7" s="48" t="s">
        <v>76</v>
      </c>
      <c r="E7" s="48" t="s">
        <v>77</v>
      </c>
      <c r="F7" s="48"/>
      <c r="G7" s="48" t="s">
        <v>2924</v>
      </c>
      <c r="H7" s="48" t="s">
        <v>177</v>
      </c>
      <c r="I7" s="102" t="str">
        <f t="shared" si="0"/>
        <v>Rosadi, S.Pd</v>
      </c>
      <c r="J7" s="85" t="s">
        <v>127</v>
      </c>
      <c r="K7" s="102" t="str">
        <f>IF(J7="P","Perempuan",IF(J7="L","Laki-laki"))</f>
        <v>Laki-laki</v>
      </c>
      <c r="L7" s="86" t="s">
        <v>75</v>
      </c>
      <c r="M7" s="106">
        <v>33279</v>
      </c>
      <c r="N7" s="107" t="str">
        <f ca="1" t="shared" si="1"/>
        <v>34 Tahun 8 Bulan </v>
      </c>
      <c r="O7" s="104">
        <v>33279</v>
      </c>
      <c r="P7" s="105">
        <f ca="1" t="shared" si="2"/>
        <v>34</v>
      </c>
      <c r="Q7" s="105" t="str">
        <f ca="1" t="shared" si="3"/>
        <v>OKE</v>
      </c>
      <c r="R7" s="643" t="s">
        <v>2925</v>
      </c>
      <c r="S7" s="48"/>
      <c r="T7" s="48"/>
      <c r="U7" s="86" t="s">
        <v>83</v>
      </c>
      <c r="V7" s="52" t="s">
        <v>2917</v>
      </c>
      <c r="W7" s="48" t="s">
        <v>112</v>
      </c>
      <c r="X7" s="48" t="s">
        <v>2926</v>
      </c>
      <c r="Y7" s="48">
        <v>8</v>
      </c>
      <c r="Z7" s="48"/>
      <c r="AA7" s="48"/>
      <c r="AB7" s="48" t="s">
        <v>148</v>
      </c>
      <c r="AC7" s="48">
        <v>77315</v>
      </c>
      <c r="AD7" s="48" t="s">
        <v>131</v>
      </c>
      <c r="AE7" s="48"/>
      <c r="AF7" s="644" t="s">
        <v>2927</v>
      </c>
      <c r="AG7" s="208" t="s">
        <v>2928</v>
      </c>
      <c r="AH7" s="48"/>
      <c r="AI7" s="48"/>
      <c r="AJ7" s="209" t="s">
        <v>2929</v>
      </c>
      <c r="AK7" s="210">
        <v>42411</v>
      </c>
      <c r="AL7" s="207" t="str">
        <f ca="1" t="shared" si="4"/>
        <v>9 Tahun 8 Bulan </v>
      </c>
      <c r="AM7" s="48" t="s">
        <v>92</v>
      </c>
      <c r="AN7" s="10" t="s">
        <v>2922</v>
      </c>
      <c r="AO7" s="48" t="s">
        <v>2930</v>
      </c>
      <c r="AP7" s="85" t="s">
        <v>297</v>
      </c>
      <c r="AQ7" s="48"/>
      <c r="AR7" s="48"/>
      <c r="AS7" s="48"/>
      <c r="AT7" s="48"/>
      <c r="AU7" s="48"/>
      <c r="AV7" s="48"/>
      <c r="AW7" s="268" t="s">
        <v>100</v>
      </c>
      <c r="AX7" s="268" t="s">
        <v>101</v>
      </c>
      <c r="AY7" s="86" t="s">
        <v>2931</v>
      </c>
      <c r="AZ7" s="48"/>
      <c r="BA7" s="86"/>
      <c r="BB7" s="86"/>
      <c r="BC7" s="86" t="s">
        <v>686</v>
      </c>
      <c r="BD7" s="86"/>
      <c r="BE7" s="86">
        <v>33</v>
      </c>
      <c r="BF7" s="86">
        <v>33</v>
      </c>
      <c r="BG7" s="48" t="s">
        <v>686</v>
      </c>
      <c r="BH7" s="281" t="s">
        <v>526</v>
      </c>
      <c r="BI7" s="48" t="s">
        <v>88</v>
      </c>
      <c r="BJ7" s="85" t="s">
        <v>2932</v>
      </c>
      <c r="BK7" s="645" t="s">
        <v>2933</v>
      </c>
    </row>
    <row r="8" spans="1:63">
      <c r="A8" s="10">
        <v>3</v>
      </c>
      <c r="B8" s="48"/>
      <c r="C8" s="48" t="s">
        <v>75</v>
      </c>
      <c r="D8" s="48" t="s">
        <v>76</v>
      </c>
      <c r="E8" s="48" t="s">
        <v>77</v>
      </c>
      <c r="F8" s="48"/>
      <c r="G8" s="48" t="s">
        <v>2934</v>
      </c>
      <c r="H8" s="48" t="s">
        <v>177</v>
      </c>
      <c r="I8" s="102" t="str">
        <f t="shared" si="0"/>
        <v>Dita Trivera Wulandari, S.Pd</v>
      </c>
      <c r="J8" s="85" t="s">
        <v>80</v>
      </c>
      <c r="K8" s="102" t="str">
        <f>IF(J8="P","Perempuan",IF(J8="L","Laki-laki"))</f>
        <v>Perempuan</v>
      </c>
      <c r="L8" s="86" t="s">
        <v>1151</v>
      </c>
      <c r="M8" s="106">
        <v>34386</v>
      </c>
      <c r="N8" s="107" t="str">
        <f ca="1" t="shared" ref="N8:N30" si="5">+DATEDIF(M8,NOW(),"Y")&amp;" Tahun "&amp;+DATEDIF(M8,NOW(),"YM")&amp;" Bulan "</f>
        <v>31 Tahun 8 Bulan </v>
      </c>
      <c r="O8" s="104">
        <v>34386</v>
      </c>
      <c r="P8" s="105">
        <f ca="1" t="shared" si="2"/>
        <v>31</v>
      </c>
      <c r="Q8" s="105" t="str">
        <f ca="1" t="shared" si="3"/>
        <v>OKE</v>
      </c>
      <c r="R8" s="643" t="s">
        <v>2935</v>
      </c>
      <c r="S8" s="48"/>
      <c r="T8" s="48"/>
      <c r="U8" s="12" t="s">
        <v>129</v>
      </c>
      <c r="V8" s="52" t="s">
        <v>2936</v>
      </c>
      <c r="W8" s="48" t="s">
        <v>112</v>
      </c>
      <c r="X8" s="48" t="s">
        <v>2937</v>
      </c>
      <c r="Y8" s="48">
        <v>6</v>
      </c>
      <c r="Z8" s="48"/>
      <c r="AA8" s="48"/>
      <c r="AB8" s="48" t="s">
        <v>423</v>
      </c>
      <c r="AC8" s="48">
        <v>77311</v>
      </c>
      <c r="AD8" s="48" t="s">
        <v>88</v>
      </c>
      <c r="AE8" s="48"/>
      <c r="AF8" s="644" t="s">
        <v>2938</v>
      </c>
      <c r="AG8" s="211" t="s">
        <v>2939</v>
      </c>
      <c r="AH8" s="48"/>
      <c r="AI8" s="48"/>
      <c r="AJ8" s="209" t="s">
        <v>2940</v>
      </c>
      <c r="AK8" s="646" t="s">
        <v>2941</v>
      </c>
      <c r="AL8" s="207" t="str">
        <f ca="1" t="shared" si="4"/>
        <v>7 Tahun 10 Bulan </v>
      </c>
      <c r="AM8" s="48" t="s">
        <v>92</v>
      </c>
      <c r="AN8" s="10" t="s">
        <v>2922</v>
      </c>
      <c r="AO8" s="48" t="s">
        <v>2942</v>
      </c>
      <c r="AP8" s="85" t="s">
        <v>297</v>
      </c>
      <c r="AQ8" s="48"/>
      <c r="AR8" s="48"/>
      <c r="AS8" s="48"/>
      <c r="AT8" s="48"/>
      <c r="AU8" s="48"/>
      <c r="AV8" s="48"/>
      <c r="AW8" s="268" t="s">
        <v>100</v>
      </c>
      <c r="AX8" s="268" t="s">
        <v>101</v>
      </c>
      <c r="AY8" s="86" t="s">
        <v>2943</v>
      </c>
      <c r="AZ8" s="48"/>
      <c r="BA8" s="86"/>
      <c r="BB8" s="86"/>
      <c r="BC8" s="86"/>
      <c r="BD8" s="86"/>
      <c r="BE8" s="86"/>
      <c r="BF8" s="86"/>
      <c r="BG8" s="48"/>
      <c r="BH8" s="48" t="s">
        <v>2944</v>
      </c>
      <c r="BI8" s="48" t="s">
        <v>88</v>
      </c>
      <c r="BJ8" s="85" t="s">
        <v>2945</v>
      </c>
      <c r="BK8" s="645" t="s">
        <v>2946</v>
      </c>
    </row>
    <row r="9" s="1" customFormat="1" spans="1:64">
      <c r="A9" s="47">
        <v>4</v>
      </c>
      <c r="B9" s="49"/>
      <c r="C9" s="50" t="s">
        <v>284</v>
      </c>
      <c r="D9" s="51" t="s">
        <v>76</v>
      </c>
      <c r="E9" s="52" t="s">
        <v>285</v>
      </c>
      <c r="F9" s="53"/>
      <c r="G9" s="12" t="s">
        <v>2947</v>
      </c>
      <c r="H9" s="12" t="s">
        <v>177</v>
      </c>
      <c r="I9" s="50" t="str">
        <f t="shared" si="0"/>
        <v>Endah Fitriani, S.Pd</v>
      </c>
      <c r="J9" s="108" t="s">
        <v>80</v>
      </c>
      <c r="K9" s="102" t="str">
        <f t="shared" ref="K9:K30" si="6">IF(J9="P","Perempuan",IF(J9="L","Laki-laki"))</f>
        <v>Perempuan</v>
      </c>
      <c r="L9" s="59" t="s">
        <v>148</v>
      </c>
      <c r="M9" s="109">
        <v>34396</v>
      </c>
      <c r="N9" s="110" t="str">
        <f ca="1" t="shared" si="5"/>
        <v>31 Tahun 8 Bulan </v>
      </c>
      <c r="O9" s="109">
        <v>34396</v>
      </c>
      <c r="P9" s="51">
        <f ca="1" t="shared" si="2"/>
        <v>31</v>
      </c>
      <c r="Q9" s="51" t="str">
        <f ca="1" t="shared" si="3"/>
        <v>OKE</v>
      </c>
      <c r="R9" s="12" t="s">
        <v>2948</v>
      </c>
      <c r="S9" s="12"/>
      <c r="T9" s="12"/>
      <c r="U9" s="59" t="s">
        <v>83</v>
      </c>
      <c r="V9" s="174" t="s">
        <v>2917</v>
      </c>
      <c r="W9" s="108" t="s">
        <v>112</v>
      </c>
      <c r="X9" s="12" t="s">
        <v>2949</v>
      </c>
      <c r="Y9" s="112">
        <v>4</v>
      </c>
      <c r="Z9" s="112"/>
      <c r="AA9" s="12"/>
      <c r="AB9" s="59" t="s">
        <v>148</v>
      </c>
      <c r="AC9" s="108">
        <v>77315</v>
      </c>
      <c r="AD9" s="12" t="s">
        <v>321</v>
      </c>
      <c r="AE9" s="12"/>
      <c r="AF9" s="12" t="s">
        <v>2950</v>
      </c>
      <c r="AG9" s="212" t="s">
        <v>2951</v>
      </c>
      <c r="AH9" s="12"/>
      <c r="AI9" s="12"/>
      <c r="AJ9" s="12" t="s">
        <v>2952</v>
      </c>
      <c r="AK9" s="12" t="s">
        <v>2953</v>
      </c>
      <c r="AL9" s="119" t="str">
        <f ca="1" t="shared" si="4"/>
        <v>8 Tahun 4 Bulan </v>
      </c>
      <c r="AM9" s="12" t="s">
        <v>92</v>
      </c>
      <c r="AN9" s="108" t="s">
        <v>2922</v>
      </c>
      <c r="AO9" s="59" t="s">
        <v>2954</v>
      </c>
      <c r="AP9" s="59" t="s">
        <v>297</v>
      </c>
      <c r="AQ9" s="59"/>
      <c r="AR9" s="12"/>
      <c r="AS9" s="12"/>
      <c r="AT9" s="12"/>
      <c r="AU9" s="108" t="s">
        <v>298</v>
      </c>
      <c r="AV9" s="556" t="s">
        <v>2955</v>
      </c>
      <c r="AW9" s="12"/>
      <c r="AX9" s="269" t="s">
        <v>101</v>
      </c>
      <c r="AY9" s="12" t="s">
        <v>1487</v>
      </c>
      <c r="AZ9" s="12"/>
      <c r="BA9" s="12"/>
      <c r="BB9" s="12"/>
      <c r="BC9" s="59" t="s">
        <v>2956</v>
      </c>
      <c r="BD9" s="12"/>
      <c r="BE9" s="12">
        <v>25</v>
      </c>
      <c r="BF9" s="12">
        <v>25</v>
      </c>
      <c r="BG9" s="12" t="s">
        <v>2111</v>
      </c>
      <c r="BH9" s="49" t="s">
        <v>301</v>
      </c>
      <c r="BI9" s="51" t="s">
        <v>75</v>
      </c>
      <c r="BJ9" s="12" t="s">
        <v>2947</v>
      </c>
      <c r="BK9" s="283">
        <v>1552234606</v>
      </c>
      <c r="BL9" s="284"/>
    </row>
    <row r="10" s="1" customFormat="1" spans="1:64">
      <c r="A10" s="10">
        <v>5</v>
      </c>
      <c r="B10" s="49"/>
      <c r="C10" s="50" t="s">
        <v>284</v>
      </c>
      <c r="D10" s="51" t="s">
        <v>76</v>
      </c>
      <c r="E10" s="52" t="s">
        <v>285</v>
      </c>
      <c r="F10" s="53"/>
      <c r="G10" s="12" t="s">
        <v>2957</v>
      </c>
      <c r="H10" s="12"/>
      <c r="I10" s="50" t="str">
        <f t="shared" si="0"/>
        <v>Aminah .R. Nyakman</v>
      </c>
      <c r="J10" s="108" t="s">
        <v>80</v>
      </c>
      <c r="K10" s="102" t="str">
        <f t="shared" si="6"/>
        <v>Perempuan</v>
      </c>
      <c r="L10" s="59" t="s">
        <v>88</v>
      </c>
      <c r="M10" s="109">
        <v>36317</v>
      </c>
      <c r="N10" s="110" t="str">
        <f ca="1" t="shared" si="5"/>
        <v>26 Tahun 4 Bulan </v>
      </c>
      <c r="O10" s="109">
        <v>36317</v>
      </c>
      <c r="P10" s="51">
        <f ca="1" t="shared" si="2"/>
        <v>26</v>
      </c>
      <c r="Q10" s="51" t="str">
        <f ca="1" t="shared" si="3"/>
        <v>OKE</v>
      </c>
      <c r="R10" s="12" t="s">
        <v>2958</v>
      </c>
      <c r="S10" s="12"/>
      <c r="T10" s="12"/>
      <c r="U10" s="174" t="s">
        <v>129</v>
      </c>
      <c r="V10" s="174" t="s">
        <v>2936</v>
      </c>
      <c r="W10" s="108" t="s">
        <v>112</v>
      </c>
      <c r="X10" s="12" t="s">
        <v>2959</v>
      </c>
      <c r="Y10" s="112">
        <v>10</v>
      </c>
      <c r="Z10" s="112">
        <v>0</v>
      </c>
      <c r="AA10" s="12"/>
      <c r="AB10" s="59" t="s">
        <v>148</v>
      </c>
      <c r="AC10" s="108">
        <v>77315</v>
      </c>
      <c r="AD10" s="12" t="s">
        <v>321</v>
      </c>
      <c r="AE10" s="12"/>
      <c r="AF10" s="12" t="s">
        <v>2960</v>
      </c>
      <c r="AG10" s="213" t="s">
        <v>2961</v>
      </c>
      <c r="AH10" s="12"/>
      <c r="AI10" s="12"/>
      <c r="AJ10" s="12" t="s">
        <v>2962</v>
      </c>
      <c r="AK10" s="12" t="s">
        <v>2953</v>
      </c>
      <c r="AL10" s="119" t="str">
        <f ca="1" t="shared" si="4"/>
        <v>8 Tahun 4 Bulan </v>
      </c>
      <c r="AM10" s="12" t="s">
        <v>92</v>
      </c>
      <c r="AN10" s="108" t="s">
        <v>2922</v>
      </c>
      <c r="AO10" s="59" t="s">
        <v>2963</v>
      </c>
      <c r="AP10" s="59" t="s">
        <v>297</v>
      </c>
      <c r="AQ10" s="59"/>
      <c r="AR10" s="12"/>
      <c r="AS10" s="112"/>
      <c r="AT10" s="12"/>
      <c r="AU10" s="108" t="s">
        <v>298</v>
      </c>
      <c r="AV10" s="556" t="s">
        <v>2964</v>
      </c>
      <c r="AW10" s="12"/>
      <c r="AX10" s="270" t="s">
        <v>120</v>
      </c>
      <c r="AY10" s="39" t="s">
        <v>484</v>
      </c>
      <c r="AZ10" s="12"/>
      <c r="BA10" s="12"/>
      <c r="BB10" s="12"/>
      <c r="BC10" s="12"/>
      <c r="BD10" s="12"/>
      <c r="BE10" s="12"/>
      <c r="BF10" s="12"/>
      <c r="BG10" s="12"/>
      <c r="BH10" s="49" t="s">
        <v>301</v>
      </c>
      <c r="BI10" s="58" t="s">
        <v>75</v>
      </c>
      <c r="BJ10" s="12" t="s">
        <v>2957</v>
      </c>
      <c r="BK10" s="283">
        <v>1552234614</v>
      </c>
      <c r="BL10" s="284"/>
    </row>
    <row r="11" s="1" customFormat="1" spans="1:64">
      <c r="A11" s="47">
        <v>6</v>
      </c>
      <c r="B11" s="49"/>
      <c r="C11" s="50" t="s">
        <v>284</v>
      </c>
      <c r="D11" s="51" t="s">
        <v>76</v>
      </c>
      <c r="E11" s="52" t="s">
        <v>285</v>
      </c>
      <c r="F11" s="53"/>
      <c r="G11" s="12" t="s">
        <v>2965</v>
      </c>
      <c r="H11" s="12" t="s">
        <v>177</v>
      </c>
      <c r="I11" s="50" t="str">
        <f t="shared" si="0"/>
        <v>Linda Mamarita, S.Pd</v>
      </c>
      <c r="J11" s="108" t="s">
        <v>80</v>
      </c>
      <c r="K11" s="102" t="str">
        <f t="shared" si="6"/>
        <v>Perempuan</v>
      </c>
      <c r="L11" s="59" t="s">
        <v>75</v>
      </c>
      <c r="M11" s="109">
        <v>33537</v>
      </c>
      <c r="N11" s="110" t="str">
        <f ca="1" t="shared" si="5"/>
        <v>34 Tahun 0 Bulan </v>
      </c>
      <c r="O11" s="109">
        <v>33537</v>
      </c>
      <c r="P11" s="51">
        <f ca="1" t="shared" si="2"/>
        <v>34</v>
      </c>
      <c r="Q11" s="51" t="str">
        <f ca="1" t="shared" si="3"/>
        <v>OKE</v>
      </c>
      <c r="R11" s="12" t="s">
        <v>2966</v>
      </c>
      <c r="S11" s="12"/>
      <c r="T11" s="12"/>
      <c r="U11" s="59" t="s">
        <v>1038</v>
      </c>
      <c r="V11" s="174" t="s">
        <v>2917</v>
      </c>
      <c r="W11" s="108" t="s">
        <v>112</v>
      </c>
      <c r="X11" s="12" t="s">
        <v>2967</v>
      </c>
      <c r="Y11" s="112">
        <v>4</v>
      </c>
      <c r="Z11" s="112"/>
      <c r="AA11" s="12"/>
      <c r="AB11" s="59" t="s">
        <v>148</v>
      </c>
      <c r="AC11" s="108">
        <v>77315</v>
      </c>
      <c r="AD11" s="12" t="s">
        <v>321</v>
      </c>
      <c r="AE11" s="12"/>
      <c r="AF11" s="12" t="s">
        <v>2968</v>
      </c>
      <c r="AG11" s="12" t="s">
        <v>2969</v>
      </c>
      <c r="AH11" s="12"/>
      <c r="AI11" s="12"/>
      <c r="AJ11" s="12" t="s">
        <v>2970</v>
      </c>
      <c r="AK11" s="647" t="s">
        <v>2971</v>
      </c>
      <c r="AL11" s="119" t="str">
        <f ca="1" t="shared" si="4"/>
        <v>11 Tahun 4 Bulan </v>
      </c>
      <c r="AM11" s="12" t="s">
        <v>92</v>
      </c>
      <c r="AN11" s="108" t="s">
        <v>2922</v>
      </c>
      <c r="AO11" s="59" t="s">
        <v>2972</v>
      </c>
      <c r="AP11" s="59" t="s">
        <v>95</v>
      </c>
      <c r="AQ11" s="59" t="s">
        <v>2973</v>
      </c>
      <c r="AR11" s="12"/>
      <c r="AS11" s="257" t="s">
        <v>2974</v>
      </c>
      <c r="AT11" s="12"/>
      <c r="AU11" s="108" t="s">
        <v>298</v>
      </c>
      <c r="AV11" s="12" t="s">
        <v>2975</v>
      </c>
      <c r="AW11" s="12"/>
      <c r="AX11" s="269" t="s">
        <v>101</v>
      </c>
      <c r="AY11" s="12" t="s">
        <v>1048</v>
      </c>
      <c r="AZ11" s="12"/>
      <c r="BA11" s="12"/>
      <c r="BB11" s="12"/>
      <c r="BC11" s="12" t="s">
        <v>2976</v>
      </c>
      <c r="BD11" s="12"/>
      <c r="BE11" s="12"/>
      <c r="BF11" s="12"/>
      <c r="BG11" s="12" t="s">
        <v>1048</v>
      </c>
      <c r="BH11" s="49" t="s">
        <v>301</v>
      </c>
      <c r="BI11" s="51" t="s">
        <v>75</v>
      </c>
      <c r="BJ11" s="12" t="s">
        <v>2965</v>
      </c>
      <c r="BK11" s="283">
        <v>1552232310</v>
      </c>
      <c r="BL11" s="284"/>
    </row>
    <row r="12" s="1" customFormat="1" spans="1:64">
      <c r="A12" s="10">
        <v>7</v>
      </c>
      <c r="B12" s="49"/>
      <c r="C12" s="50" t="s">
        <v>284</v>
      </c>
      <c r="D12" s="51" t="s">
        <v>76</v>
      </c>
      <c r="E12" s="52" t="s">
        <v>285</v>
      </c>
      <c r="F12" s="53"/>
      <c r="G12" s="12" t="s">
        <v>2977</v>
      </c>
      <c r="H12" s="12" t="s">
        <v>177</v>
      </c>
      <c r="I12" s="50" t="str">
        <f t="shared" si="0"/>
        <v>Rizka Zaenur Rohmah, S.Pd</v>
      </c>
      <c r="J12" s="108" t="s">
        <v>80</v>
      </c>
      <c r="K12" s="102" t="str">
        <f t="shared" si="6"/>
        <v>Perempuan</v>
      </c>
      <c r="L12" s="59" t="s">
        <v>2083</v>
      </c>
      <c r="M12" s="109">
        <v>33477</v>
      </c>
      <c r="N12" s="110" t="str">
        <f ca="1" t="shared" si="5"/>
        <v>34 Tahun 2 Bulan </v>
      </c>
      <c r="O12" s="109">
        <v>33477</v>
      </c>
      <c r="P12" s="51">
        <f ca="1" t="shared" si="2"/>
        <v>34</v>
      </c>
      <c r="Q12" s="51" t="str">
        <f ca="1" t="shared" si="3"/>
        <v>OKE</v>
      </c>
      <c r="R12" s="12" t="s">
        <v>2978</v>
      </c>
      <c r="S12" s="12"/>
      <c r="T12" s="12"/>
      <c r="U12" s="59" t="s">
        <v>83</v>
      </c>
      <c r="V12" s="174" t="s">
        <v>2917</v>
      </c>
      <c r="W12" s="108" t="s">
        <v>112</v>
      </c>
      <c r="X12" s="12" t="s">
        <v>2979</v>
      </c>
      <c r="Y12" s="112"/>
      <c r="Z12" s="112"/>
      <c r="AA12" s="12"/>
      <c r="AB12" s="59" t="s">
        <v>148</v>
      </c>
      <c r="AC12" s="108">
        <v>77315</v>
      </c>
      <c r="AD12" s="12" t="s">
        <v>321</v>
      </c>
      <c r="AE12" s="12"/>
      <c r="AF12" s="12" t="s">
        <v>2980</v>
      </c>
      <c r="AG12" s="12" t="s">
        <v>2981</v>
      </c>
      <c r="AH12" s="12"/>
      <c r="AI12" s="12"/>
      <c r="AJ12" s="12" t="s">
        <v>2982</v>
      </c>
      <c r="AK12" s="12" t="s">
        <v>2983</v>
      </c>
      <c r="AL12" s="119" t="str">
        <f ca="1" t="shared" si="4"/>
        <v>9 Tahun 0 Bulan </v>
      </c>
      <c r="AM12" s="12" t="s">
        <v>92</v>
      </c>
      <c r="AN12" s="108" t="s">
        <v>2922</v>
      </c>
      <c r="AO12" s="59" t="s">
        <v>2984</v>
      </c>
      <c r="AP12" s="59" t="s">
        <v>95</v>
      </c>
      <c r="AQ12" s="59" t="s">
        <v>2985</v>
      </c>
      <c r="AR12" s="12"/>
      <c r="AS12" s="112" t="s">
        <v>328</v>
      </c>
      <c r="AT12" s="12"/>
      <c r="AU12" s="108" t="s">
        <v>298</v>
      </c>
      <c r="AV12" s="12"/>
      <c r="AW12" s="12"/>
      <c r="AX12" s="270" t="s">
        <v>101</v>
      </c>
      <c r="AY12" s="12" t="s">
        <v>1034</v>
      </c>
      <c r="AZ12" s="12"/>
      <c r="BA12" s="12"/>
      <c r="BB12" s="12"/>
      <c r="BC12" s="59" t="s">
        <v>2986</v>
      </c>
      <c r="BD12" s="12"/>
      <c r="BE12" s="12">
        <v>25</v>
      </c>
      <c r="BF12" s="12">
        <v>25</v>
      </c>
      <c r="BG12" s="12" t="s">
        <v>1034</v>
      </c>
      <c r="BH12" s="49" t="s">
        <v>301</v>
      </c>
      <c r="BI12" s="58" t="s">
        <v>75</v>
      </c>
      <c r="BJ12" s="12" t="s">
        <v>2977</v>
      </c>
      <c r="BK12" s="283">
        <v>1552234134</v>
      </c>
      <c r="BL12" s="284"/>
    </row>
    <row r="13" s="1" customFormat="1" spans="1:64">
      <c r="A13" s="47">
        <v>8</v>
      </c>
      <c r="B13" s="49"/>
      <c r="C13" s="50" t="s">
        <v>284</v>
      </c>
      <c r="D13" s="51" t="s">
        <v>76</v>
      </c>
      <c r="E13" s="52" t="s">
        <v>285</v>
      </c>
      <c r="F13" s="53"/>
      <c r="G13" s="12" t="s">
        <v>2987</v>
      </c>
      <c r="H13" s="12" t="s">
        <v>2988</v>
      </c>
      <c r="I13" s="50" t="str">
        <f t="shared" si="0"/>
        <v>Eric Foreman, M.Pd</v>
      </c>
      <c r="J13" s="108" t="s">
        <v>127</v>
      </c>
      <c r="K13" s="102" t="str">
        <f t="shared" si="6"/>
        <v>Laki-laki</v>
      </c>
      <c r="L13" s="59" t="s">
        <v>131</v>
      </c>
      <c r="M13" s="109">
        <v>33345</v>
      </c>
      <c r="N13" s="110" t="str">
        <f ca="1" t="shared" si="5"/>
        <v>34 Tahun 6 Bulan </v>
      </c>
      <c r="O13" s="111" t="str">
        <f t="shared" ref="O13:O17" si="7">TEXT(M13,"DD MMMM YYYY")</f>
        <v>17 April 1991</v>
      </c>
      <c r="P13" s="51">
        <f ca="1" t="shared" si="2"/>
        <v>34</v>
      </c>
      <c r="Q13" s="51" t="str">
        <f ca="1" t="shared" si="3"/>
        <v>OKE</v>
      </c>
      <c r="R13" s="12" t="s">
        <v>2989</v>
      </c>
      <c r="S13" s="12"/>
      <c r="T13" s="12"/>
      <c r="U13" s="59" t="s">
        <v>83</v>
      </c>
      <c r="V13" s="174" t="s">
        <v>2917</v>
      </c>
      <c r="W13" s="108" t="s">
        <v>112</v>
      </c>
      <c r="X13" s="12" t="s">
        <v>2990</v>
      </c>
      <c r="Y13" s="112"/>
      <c r="Z13" s="112"/>
      <c r="AA13" s="12"/>
      <c r="AB13" s="59" t="s">
        <v>131</v>
      </c>
      <c r="AC13" s="108">
        <v>77352</v>
      </c>
      <c r="AD13" s="12" t="s">
        <v>321</v>
      </c>
      <c r="AE13" s="12"/>
      <c r="AF13" s="12" t="s">
        <v>2991</v>
      </c>
      <c r="AG13" s="12" t="s">
        <v>2992</v>
      </c>
      <c r="AH13" s="12"/>
      <c r="AI13" s="12"/>
      <c r="AJ13" s="12" t="s">
        <v>2993</v>
      </c>
      <c r="AK13" s="12" t="s">
        <v>2953</v>
      </c>
      <c r="AL13" s="119" t="str">
        <f ca="1" t="shared" si="4"/>
        <v>8 Tahun 4 Bulan </v>
      </c>
      <c r="AM13" s="12" t="s">
        <v>92</v>
      </c>
      <c r="AN13" s="108" t="s">
        <v>2922</v>
      </c>
      <c r="AO13" s="59" t="s">
        <v>2994</v>
      </c>
      <c r="AP13" s="59" t="s">
        <v>95</v>
      </c>
      <c r="AQ13" s="59" t="s">
        <v>2995</v>
      </c>
      <c r="AR13" s="12"/>
      <c r="AS13" s="59" t="s">
        <v>232</v>
      </c>
      <c r="AT13" s="12"/>
      <c r="AU13" s="108" t="s">
        <v>298</v>
      </c>
      <c r="AV13" s="12"/>
      <c r="AW13" s="12"/>
      <c r="AX13" s="270" t="s">
        <v>717</v>
      </c>
      <c r="AY13" s="12" t="s">
        <v>686</v>
      </c>
      <c r="AZ13" s="12"/>
      <c r="BA13" s="12"/>
      <c r="BB13" s="12"/>
      <c r="BC13" s="12" t="s">
        <v>1842</v>
      </c>
      <c r="BD13" s="12"/>
      <c r="BE13" s="12">
        <v>25</v>
      </c>
      <c r="BF13" s="12">
        <v>25</v>
      </c>
      <c r="BG13" s="12" t="s">
        <v>686</v>
      </c>
      <c r="BH13" s="49" t="s">
        <v>301</v>
      </c>
      <c r="BI13" s="51" t="s">
        <v>75</v>
      </c>
      <c r="BJ13" s="12" t="s">
        <v>2987</v>
      </c>
      <c r="BK13" s="283">
        <v>1122059797</v>
      </c>
      <c r="BL13" s="284"/>
    </row>
    <row r="14" s="1" customFormat="1" spans="1:64">
      <c r="A14" s="10">
        <v>9</v>
      </c>
      <c r="B14" s="49"/>
      <c r="C14" s="50" t="s">
        <v>284</v>
      </c>
      <c r="D14" s="51" t="s">
        <v>76</v>
      </c>
      <c r="E14" s="52" t="s">
        <v>285</v>
      </c>
      <c r="F14" s="53"/>
      <c r="G14" s="12" t="s">
        <v>2996</v>
      </c>
      <c r="H14" s="12"/>
      <c r="I14" s="50" t="str">
        <f t="shared" si="0"/>
        <v>Slamet Surono</v>
      </c>
      <c r="J14" s="108" t="s">
        <v>127</v>
      </c>
      <c r="K14" s="102" t="str">
        <f t="shared" si="6"/>
        <v>Laki-laki</v>
      </c>
      <c r="L14" s="59" t="s">
        <v>75</v>
      </c>
      <c r="M14" s="109">
        <v>35049</v>
      </c>
      <c r="N14" s="110" t="str">
        <f ca="1" t="shared" si="5"/>
        <v>29 Tahun 10 Bulan </v>
      </c>
      <c r="O14" s="109">
        <v>35049</v>
      </c>
      <c r="P14" s="51">
        <f ca="1" t="shared" si="2"/>
        <v>29</v>
      </c>
      <c r="Q14" s="51" t="str">
        <f ca="1" t="shared" si="3"/>
        <v>OKE</v>
      </c>
      <c r="R14" s="12" t="s">
        <v>2997</v>
      </c>
      <c r="S14" s="12"/>
      <c r="T14" s="12"/>
      <c r="U14" s="59" t="s">
        <v>750</v>
      </c>
      <c r="V14" s="174" t="s">
        <v>2936</v>
      </c>
      <c r="W14" s="108" t="s">
        <v>112</v>
      </c>
      <c r="X14" s="12" t="s">
        <v>2998</v>
      </c>
      <c r="Y14" s="112">
        <v>17</v>
      </c>
      <c r="Z14" s="112">
        <v>0</v>
      </c>
      <c r="AA14" s="12"/>
      <c r="AB14" s="59" t="s">
        <v>450</v>
      </c>
      <c r="AC14" s="108">
        <v>77371</v>
      </c>
      <c r="AD14" s="12" t="s">
        <v>399</v>
      </c>
      <c r="AE14" s="12"/>
      <c r="AF14" s="12" t="s">
        <v>2999</v>
      </c>
      <c r="AG14" s="12" t="s">
        <v>3000</v>
      </c>
      <c r="AH14" s="12"/>
      <c r="AI14" s="12"/>
      <c r="AJ14" s="214" t="s">
        <v>3001</v>
      </c>
      <c r="AK14" s="12" t="s">
        <v>3002</v>
      </c>
      <c r="AL14" s="119" t="str">
        <f ca="1" t="shared" si="4"/>
        <v>9 Tahun 2 Bulan </v>
      </c>
      <c r="AM14" s="12" t="s">
        <v>92</v>
      </c>
      <c r="AN14" s="108" t="s">
        <v>2922</v>
      </c>
      <c r="AO14" s="59" t="s">
        <v>3003</v>
      </c>
      <c r="AP14" s="59" t="s">
        <v>297</v>
      </c>
      <c r="AQ14" s="59"/>
      <c r="AR14" s="12"/>
      <c r="AS14" s="112"/>
      <c r="AT14" s="12"/>
      <c r="AU14" s="108" t="s">
        <v>298</v>
      </c>
      <c r="AV14" s="12"/>
      <c r="AW14" s="12"/>
      <c r="AX14" s="270" t="s">
        <v>120</v>
      </c>
      <c r="AY14" s="39" t="s">
        <v>484</v>
      </c>
      <c r="AZ14" s="12"/>
      <c r="BA14" s="12"/>
      <c r="BB14" s="12"/>
      <c r="BC14" s="12"/>
      <c r="BD14" s="12"/>
      <c r="BE14" s="12"/>
      <c r="BF14" s="12"/>
      <c r="BG14" s="12"/>
      <c r="BH14" s="49" t="s">
        <v>301</v>
      </c>
      <c r="BI14" s="58" t="s">
        <v>75</v>
      </c>
      <c r="BJ14" s="12" t="s">
        <v>2996</v>
      </c>
      <c r="BK14" s="283">
        <v>1552232387</v>
      </c>
      <c r="BL14" s="284"/>
    </row>
    <row r="15" s="1" customFormat="1" spans="1:64">
      <c r="A15" s="47">
        <v>10</v>
      </c>
      <c r="B15" s="49"/>
      <c r="C15" s="50" t="s">
        <v>284</v>
      </c>
      <c r="D15" s="51" t="s">
        <v>76</v>
      </c>
      <c r="E15" s="52" t="s">
        <v>285</v>
      </c>
      <c r="F15" s="53"/>
      <c r="G15" s="12" t="s">
        <v>3004</v>
      </c>
      <c r="H15" s="12"/>
      <c r="I15" s="50" t="str">
        <f t="shared" si="0"/>
        <v>Salim Nur Permadi</v>
      </c>
      <c r="J15" s="108" t="s">
        <v>127</v>
      </c>
      <c r="K15" s="102" t="str">
        <f t="shared" si="6"/>
        <v>Laki-laki</v>
      </c>
      <c r="L15" s="112" t="s">
        <v>88</v>
      </c>
      <c r="M15" s="109">
        <v>33972</v>
      </c>
      <c r="N15" s="110" t="str">
        <f ca="1" t="shared" si="5"/>
        <v>32 Tahun 10 Bulan </v>
      </c>
      <c r="O15" s="109">
        <v>33972</v>
      </c>
      <c r="P15" s="51">
        <f ca="1" t="shared" si="2"/>
        <v>32</v>
      </c>
      <c r="Q15" s="51" t="str">
        <f ca="1" t="shared" si="3"/>
        <v>OKE</v>
      </c>
      <c r="R15" s="556" t="s">
        <v>3005</v>
      </c>
      <c r="S15" s="12"/>
      <c r="T15" s="12"/>
      <c r="U15" s="59" t="s">
        <v>792</v>
      </c>
      <c r="V15" s="174" t="s">
        <v>2936</v>
      </c>
      <c r="W15" s="108" t="s">
        <v>112</v>
      </c>
      <c r="X15" s="12" t="s">
        <v>3006</v>
      </c>
      <c r="Y15" s="112">
        <v>10</v>
      </c>
      <c r="Z15" s="112">
        <v>0</v>
      </c>
      <c r="AA15" s="12"/>
      <c r="AB15" s="59" t="s">
        <v>148</v>
      </c>
      <c r="AC15" s="108">
        <v>77315</v>
      </c>
      <c r="AD15" s="12" t="s">
        <v>321</v>
      </c>
      <c r="AE15" s="12"/>
      <c r="AF15" s="556" t="s">
        <v>3007</v>
      </c>
      <c r="AG15" s="212" t="s">
        <v>3008</v>
      </c>
      <c r="AH15" s="12"/>
      <c r="AI15" s="12"/>
      <c r="AJ15" s="12" t="s">
        <v>3009</v>
      </c>
      <c r="AK15" s="556" t="s">
        <v>3010</v>
      </c>
      <c r="AL15" s="119" t="str">
        <f ca="1" t="shared" si="4"/>
        <v>7 Tahun 10 Bulan </v>
      </c>
      <c r="AM15" s="12" t="s">
        <v>92</v>
      </c>
      <c r="AN15" s="108" t="s">
        <v>2922</v>
      </c>
      <c r="AO15" s="112"/>
      <c r="AP15" s="59" t="s">
        <v>297</v>
      </c>
      <c r="AQ15" s="59"/>
      <c r="AR15" s="12"/>
      <c r="AS15" s="112"/>
      <c r="AT15" s="12"/>
      <c r="AU15" s="108" t="s">
        <v>298</v>
      </c>
      <c r="AV15" s="12"/>
      <c r="AW15" s="12"/>
      <c r="AX15" s="270" t="s">
        <v>120</v>
      </c>
      <c r="AY15" s="39" t="s">
        <v>484</v>
      </c>
      <c r="AZ15" s="12"/>
      <c r="BA15" s="12"/>
      <c r="BB15" s="12"/>
      <c r="BC15" s="12"/>
      <c r="BD15" s="12"/>
      <c r="BE15" s="12"/>
      <c r="BF15" s="12"/>
      <c r="BG15" s="12"/>
      <c r="BH15" s="49" t="s">
        <v>301</v>
      </c>
      <c r="BI15" s="58" t="s">
        <v>75</v>
      </c>
      <c r="BJ15" s="12" t="s">
        <v>3004</v>
      </c>
      <c r="BK15" s="648" t="s">
        <v>3011</v>
      </c>
      <c r="BL15" s="284"/>
    </row>
    <row r="16" s="1" customFormat="1" spans="1:64">
      <c r="A16" s="10">
        <v>11</v>
      </c>
      <c r="B16" s="49"/>
      <c r="C16" s="50" t="s">
        <v>284</v>
      </c>
      <c r="D16" s="51" t="s">
        <v>76</v>
      </c>
      <c r="E16" s="52" t="s">
        <v>285</v>
      </c>
      <c r="F16" s="53"/>
      <c r="G16" s="12" t="s">
        <v>3012</v>
      </c>
      <c r="H16" s="12"/>
      <c r="I16" s="50" t="str">
        <f t="shared" si="0"/>
        <v>Edi Agus Muhridin</v>
      </c>
      <c r="J16" s="108" t="s">
        <v>127</v>
      </c>
      <c r="K16" s="102" t="str">
        <f t="shared" si="6"/>
        <v>Laki-laki</v>
      </c>
      <c r="L16" s="112" t="s">
        <v>3013</v>
      </c>
      <c r="M16" s="109">
        <v>34919</v>
      </c>
      <c r="N16" s="110" t="str">
        <f ca="1" t="shared" si="5"/>
        <v>30 Tahun 2 Bulan </v>
      </c>
      <c r="O16" s="109">
        <v>34919</v>
      </c>
      <c r="P16" s="51">
        <f ca="1" t="shared" si="2"/>
        <v>30</v>
      </c>
      <c r="Q16" s="51" t="str">
        <f ca="1" t="shared" si="3"/>
        <v>OKE</v>
      </c>
      <c r="R16" s="556" t="s">
        <v>3014</v>
      </c>
      <c r="S16" s="12"/>
      <c r="T16" s="12"/>
      <c r="U16" s="59" t="s">
        <v>792</v>
      </c>
      <c r="V16" s="174" t="s">
        <v>2936</v>
      </c>
      <c r="W16" s="108" t="s">
        <v>112</v>
      </c>
      <c r="X16" s="12" t="s">
        <v>3015</v>
      </c>
      <c r="Y16" s="112">
        <v>17</v>
      </c>
      <c r="Z16" s="112">
        <v>0</v>
      </c>
      <c r="AA16" s="12"/>
      <c r="AB16" s="59" t="s">
        <v>3016</v>
      </c>
      <c r="AC16" s="60">
        <v>77312</v>
      </c>
      <c r="AD16" s="12" t="s">
        <v>292</v>
      </c>
      <c r="AE16" s="12"/>
      <c r="AF16" s="556" t="s">
        <v>3017</v>
      </c>
      <c r="AG16" s="212" t="s">
        <v>3018</v>
      </c>
      <c r="AH16" s="12"/>
      <c r="AI16" s="12"/>
      <c r="AJ16" s="12" t="s">
        <v>3019</v>
      </c>
      <c r="AK16" s="556" t="s">
        <v>3010</v>
      </c>
      <c r="AL16" s="119" t="str">
        <f ca="1" t="shared" si="4"/>
        <v>7 Tahun 10 Bulan </v>
      </c>
      <c r="AM16" s="12" t="s">
        <v>92</v>
      </c>
      <c r="AN16" s="108" t="s">
        <v>2922</v>
      </c>
      <c r="AO16" s="112" t="s">
        <v>3020</v>
      </c>
      <c r="AP16" s="112" t="s">
        <v>297</v>
      </c>
      <c r="AQ16" s="59"/>
      <c r="AR16" s="12"/>
      <c r="AS16" s="112"/>
      <c r="AT16" s="12"/>
      <c r="AU16" s="108" t="s">
        <v>298</v>
      </c>
      <c r="AV16" s="12"/>
      <c r="AW16" s="12"/>
      <c r="AX16" s="270" t="s">
        <v>120</v>
      </c>
      <c r="AY16" s="39" t="s">
        <v>3021</v>
      </c>
      <c r="AZ16" s="12"/>
      <c r="BA16" s="12"/>
      <c r="BB16" s="12"/>
      <c r="BC16" s="12"/>
      <c r="BD16" s="12"/>
      <c r="BE16" s="12"/>
      <c r="BF16" s="12"/>
      <c r="BG16" s="12"/>
      <c r="BH16" s="60" t="s">
        <v>301</v>
      </c>
      <c r="BI16" s="58" t="s">
        <v>75</v>
      </c>
      <c r="BJ16" s="12" t="s">
        <v>3012</v>
      </c>
      <c r="BK16" s="648" t="s">
        <v>3022</v>
      </c>
      <c r="BL16" s="284"/>
    </row>
    <row r="17" s="1" customFormat="1" spans="1:64">
      <c r="A17" s="47">
        <v>12</v>
      </c>
      <c r="B17" s="49"/>
      <c r="C17" s="50" t="s">
        <v>284</v>
      </c>
      <c r="D17" s="51" t="s">
        <v>76</v>
      </c>
      <c r="E17" s="52" t="s">
        <v>285</v>
      </c>
      <c r="F17" s="53"/>
      <c r="G17" s="12" t="s">
        <v>3023</v>
      </c>
      <c r="H17" s="12"/>
      <c r="I17" s="50" t="str">
        <f t="shared" si="0"/>
        <v>Muhammad Nur Ikhsan</v>
      </c>
      <c r="J17" s="108" t="s">
        <v>127</v>
      </c>
      <c r="K17" s="102" t="str">
        <f t="shared" si="6"/>
        <v>Laki-laki</v>
      </c>
      <c r="L17" s="112" t="s">
        <v>450</v>
      </c>
      <c r="M17" s="109">
        <v>36256</v>
      </c>
      <c r="N17" s="110" t="str">
        <f ca="1" t="shared" si="5"/>
        <v>26 Tahun 6 Bulan </v>
      </c>
      <c r="O17" s="111" t="str">
        <f t="shared" si="7"/>
        <v>06 April 1999</v>
      </c>
      <c r="P17" s="51">
        <f ca="1" t="shared" si="2"/>
        <v>26</v>
      </c>
      <c r="Q17" s="51" t="str">
        <f ca="1" t="shared" si="3"/>
        <v>OKE</v>
      </c>
      <c r="R17" s="556" t="s">
        <v>3024</v>
      </c>
      <c r="S17" s="12"/>
      <c r="T17" s="12"/>
      <c r="U17" s="59" t="s">
        <v>792</v>
      </c>
      <c r="V17" s="174" t="s">
        <v>2936</v>
      </c>
      <c r="W17" s="108" t="s">
        <v>112</v>
      </c>
      <c r="X17" s="12" t="s">
        <v>3025</v>
      </c>
      <c r="Y17" s="112">
        <v>6</v>
      </c>
      <c r="Z17" s="112">
        <v>0</v>
      </c>
      <c r="AA17" s="12"/>
      <c r="AB17" s="59" t="s">
        <v>450</v>
      </c>
      <c r="AC17" s="108">
        <v>77371</v>
      </c>
      <c r="AD17" s="12" t="s">
        <v>399</v>
      </c>
      <c r="AE17" s="12"/>
      <c r="AF17" s="556" t="s">
        <v>3026</v>
      </c>
      <c r="AG17" s="212" t="s">
        <v>3027</v>
      </c>
      <c r="AH17" s="12"/>
      <c r="AI17" s="12"/>
      <c r="AJ17" s="12" t="s">
        <v>3028</v>
      </c>
      <c r="AK17" s="556" t="s">
        <v>3010</v>
      </c>
      <c r="AL17" s="119" t="str">
        <f ca="1" t="shared" si="4"/>
        <v>7 Tahun 10 Bulan </v>
      </c>
      <c r="AM17" s="12" t="s">
        <v>92</v>
      </c>
      <c r="AN17" s="108" t="s">
        <v>2922</v>
      </c>
      <c r="AO17" s="112" t="s">
        <v>3029</v>
      </c>
      <c r="AP17" s="112" t="s">
        <v>297</v>
      </c>
      <c r="AQ17" s="59"/>
      <c r="AR17" s="12"/>
      <c r="AS17" s="112"/>
      <c r="AT17" s="12"/>
      <c r="AU17" s="108" t="s">
        <v>298</v>
      </c>
      <c r="AV17" s="12"/>
      <c r="AW17" s="12"/>
      <c r="AX17" s="270" t="s">
        <v>120</v>
      </c>
      <c r="AY17" s="39" t="s">
        <v>3030</v>
      </c>
      <c r="AZ17" s="12"/>
      <c r="BA17" s="12"/>
      <c r="BB17" s="12"/>
      <c r="BC17" s="12"/>
      <c r="BD17" s="12"/>
      <c r="BE17" s="12"/>
      <c r="BF17" s="12"/>
      <c r="BG17" s="12"/>
      <c r="BH17" s="108" t="s">
        <v>301</v>
      </c>
      <c r="BI17" s="108" t="s">
        <v>75</v>
      </c>
      <c r="BJ17" s="12" t="s">
        <v>3023</v>
      </c>
      <c r="BK17" s="555" t="s">
        <v>3031</v>
      </c>
      <c r="BL17" s="284"/>
    </row>
    <row r="18" s="1" customFormat="1" ht="15" customHeight="1" spans="1:64">
      <c r="A18" s="10">
        <v>13</v>
      </c>
      <c r="B18" s="49"/>
      <c r="C18" s="50" t="s">
        <v>284</v>
      </c>
      <c r="D18" s="51" t="s">
        <v>76</v>
      </c>
      <c r="E18" s="52" t="s">
        <v>285</v>
      </c>
      <c r="F18" s="53"/>
      <c r="G18" s="12" t="s">
        <v>3032</v>
      </c>
      <c r="H18" s="12"/>
      <c r="I18" s="50" t="str">
        <f t="shared" si="0"/>
        <v>Suroto</v>
      </c>
      <c r="J18" s="108" t="s">
        <v>127</v>
      </c>
      <c r="K18" s="102" t="str">
        <f t="shared" si="6"/>
        <v>Laki-laki</v>
      </c>
      <c r="L18" s="112" t="s">
        <v>846</v>
      </c>
      <c r="M18" s="109">
        <v>30601</v>
      </c>
      <c r="N18" s="110" t="str">
        <f ca="1" t="shared" si="5"/>
        <v>42 Tahun 0 Bulan </v>
      </c>
      <c r="O18" s="109">
        <v>30601</v>
      </c>
      <c r="P18" s="51">
        <f ca="1" t="shared" si="2"/>
        <v>42</v>
      </c>
      <c r="Q18" s="51" t="str">
        <f ca="1" t="shared" si="3"/>
        <v>OKE</v>
      </c>
      <c r="R18" s="556" t="s">
        <v>3033</v>
      </c>
      <c r="S18" s="12"/>
      <c r="T18" s="12"/>
      <c r="U18" s="59" t="s">
        <v>750</v>
      </c>
      <c r="V18" s="174" t="s">
        <v>2936</v>
      </c>
      <c r="W18" s="108" t="s">
        <v>112</v>
      </c>
      <c r="X18" s="12" t="s">
        <v>256</v>
      </c>
      <c r="Y18" s="112">
        <v>4</v>
      </c>
      <c r="Z18" s="112">
        <v>0</v>
      </c>
      <c r="AA18" s="12"/>
      <c r="AB18" s="59" t="s">
        <v>88</v>
      </c>
      <c r="AC18" s="108">
        <v>77315</v>
      </c>
      <c r="AD18" s="12" t="s">
        <v>292</v>
      </c>
      <c r="AE18" s="12"/>
      <c r="AF18" s="556" t="s">
        <v>3034</v>
      </c>
      <c r="AG18" s="12"/>
      <c r="AH18" s="12"/>
      <c r="AI18" s="12"/>
      <c r="AJ18" s="12" t="s">
        <v>3035</v>
      </c>
      <c r="AK18" s="556" t="s">
        <v>3010</v>
      </c>
      <c r="AL18" s="119" t="str">
        <f ca="1" t="shared" si="4"/>
        <v>7 Tahun 10 Bulan </v>
      </c>
      <c r="AM18" s="12" t="s">
        <v>92</v>
      </c>
      <c r="AN18" s="108" t="s">
        <v>2922</v>
      </c>
      <c r="AO18" s="112" t="s">
        <v>116</v>
      </c>
      <c r="AP18" s="112" t="s">
        <v>95</v>
      </c>
      <c r="AQ18" s="59" t="s">
        <v>3036</v>
      </c>
      <c r="AR18" s="12"/>
      <c r="AS18" s="59" t="s">
        <v>232</v>
      </c>
      <c r="AT18" s="12"/>
      <c r="AU18" s="108" t="s">
        <v>298</v>
      </c>
      <c r="AV18" s="12" t="s">
        <v>3037</v>
      </c>
      <c r="AW18" s="12"/>
      <c r="AX18" s="270" t="s">
        <v>120</v>
      </c>
      <c r="AY18" s="39" t="s">
        <v>484</v>
      </c>
      <c r="AZ18" s="12"/>
      <c r="BA18" s="12"/>
      <c r="BB18" s="12"/>
      <c r="BC18" s="12"/>
      <c r="BD18" s="12"/>
      <c r="BE18" s="12"/>
      <c r="BF18" s="12"/>
      <c r="BG18" s="12"/>
      <c r="BH18" s="108" t="s">
        <v>301</v>
      </c>
      <c r="BI18" s="108" t="s">
        <v>75</v>
      </c>
      <c r="BJ18" s="12" t="s">
        <v>3032</v>
      </c>
      <c r="BK18" s="648" t="s">
        <v>3038</v>
      </c>
      <c r="BL18" s="284"/>
    </row>
    <row r="19" s="1" customFormat="1" spans="1:64">
      <c r="A19" s="47">
        <v>14</v>
      </c>
      <c r="B19" s="49"/>
      <c r="C19" s="50" t="s">
        <v>284</v>
      </c>
      <c r="D19" s="51" t="s">
        <v>76</v>
      </c>
      <c r="E19" s="52" t="s">
        <v>285</v>
      </c>
      <c r="F19" s="53"/>
      <c r="G19" s="12" t="s">
        <v>3039</v>
      </c>
      <c r="H19" s="50" t="s">
        <v>177</v>
      </c>
      <c r="I19" s="50" t="str">
        <f t="shared" si="0"/>
        <v>Harman, S.Pd</v>
      </c>
      <c r="J19" s="51" t="s">
        <v>127</v>
      </c>
      <c r="K19" s="102" t="str">
        <f t="shared" si="6"/>
        <v>Laki-laki</v>
      </c>
      <c r="L19" s="112" t="s">
        <v>75</v>
      </c>
      <c r="M19" s="109">
        <v>34865</v>
      </c>
      <c r="N19" s="110" t="str">
        <f ca="1" t="shared" si="5"/>
        <v>30 Tahun 4 Bulan </v>
      </c>
      <c r="O19" s="109">
        <v>34865</v>
      </c>
      <c r="P19" s="51">
        <f ca="1" t="shared" si="2"/>
        <v>30</v>
      </c>
      <c r="Q19" s="51" t="str">
        <f ca="1" t="shared" si="3"/>
        <v>OKE</v>
      </c>
      <c r="R19" s="556" t="s">
        <v>3040</v>
      </c>
      <c r="S19" s="53"/>
      <c r="T19" s="60"/>
      <c r="U19" s="59" t="s">
        <v>83</v>
      </c>
      <c r="V19" s="12" t="s">
        <v>2917</v>
      </c>
      <c r="W19" s="108" t="s">
        <v>112</v>
      </c>
      <c r="X19" s="12" t="s">
        <v>3041</v>
      </c>
      <c r="Y19" s="12"/>
      <c r="Z19" s="12"/>
      <c r="AA19" s="53"/>
      <c r="AB19" s="59" t="s">
        <v>3042</v>
      </c>
      <c r="AC19" s="108">
        <v>77371</v>
      </c>
      <c r="AD19" s="193" t="s">
        <v>399</v>
      </c>
      <c r="AE19" s="12"/>
      <c r="AF19" s="556" t="s">
        <v>3043</v>
      </c>
      <c r="AG19" s="213" t="s">
        <v>3044</v>
      </c>
      <c r="AH19" s="53"/>
      <c r="AI19" s="53"/>
      <c r="AJ19" s="12" t="s">
        <v>3045</v>
      </c>
      <c r="AK19" s="647" t="s">
        <v>3046</v>
      </c>
      <c r="AL19" s="119" t="str">
        <f ca="1" t="shared" si="4"/>
        <v>8 Tahun 9 Bulan </v>
      </c>
      <c r="AM19" s="12" t="s">
        <v>92</v>
      </c>
      <c r="AN19" s="215" t="s">
        <v>2922</v>
      </c>
      <c r="AO19" s="59" t="s">
        <v>3047</v>
      </c>
      <c r="AP19" s="59" t="s">
        <v>297</v>
      </c>
      <c r="AQ19" s="59"/>
      <c r="AR19" s="12"/>
      <c r="AS19" s="59"/>
      <c r="AT19" s="53"/>
      <c r="AU19" s="108" t="s">
        <v>298</v>
      </c>
      <c r="AV19" s="12"/>
      <c r="AW19" s="12"/>
      <c r="AX19" s="55" t="s">
        <v>101</v>
      </c>
      <c r="AY19" s="12" t="s">
        <v>1035</v>
      </c>
      <c r="AZ19" s="12"/>
      <c r="BA19" s="53"/>
      <c r="BB19" s="271"/>
      <c r="BC19" s="12" t="s">
        <v>3048</v>
      </c>
      <c r="BD19" s="12"/>
      <c r="BE19" s="12">
        <v>21</v>
      </c>
      <c r="BF19" s="12">
        <v>21</v>
      </c>
      <c r="BG19" s="12" t="s">
        <v>1034</v>
      </c>
      <c r="BH19" s="49" t="s">
        <v>301</v>
      </c>
      <c r="BI19" s="58" t="s">
        <v>75</v>
      </c>
      <c r="BJ19" s="12" t="s">
        <v>3039</v>
      </c>
      <c r="BK19" s="649" t="s">
        <v>3049</v>
      </c>
      <c r="BL19" s="284"/>
    </row>
    <row r="20" spans="1:63">
      <c r="A20" s="10">
        <v>15</v>
      </c>
      <c r="B20" s="54">
        <v>5763</v>
      </c>
      <c r="C20" s="54" t="s">
        <v>509</v>
      </c>
      <c r="D20" s="52" t="s">
        <v>76</v>
      </c>
      <c r="E20" s="54" t="s">
        <v>510</v>
      </c>
      <c r="F20" s="54"/>
      <c r="G20" s="54" t="s">
        <v>3050</v>
      </c>
      <c r="H20" s="54" t="s">
        <v>177</v>
      </c>
      <c r="I20" s="113" t="str">
        <f t="shared" si="0"/>
        <v>Hagsa Dewandaka, S.Pd</v>
      </c>
      <c r="J20" s="54" t="s">
        <v>127</v>
      </c>
      <c r="K20" s="102" t="str">
        <f t="shared" si="6"/>
        <v>Laki-laki</v>
      </c>
      <c r="L20" s="54" t="s">
        <v>518</v>
      </c>
      <c r="M20" s="114">
        <v>34228</v>
      </c>
      <c r="N20" s="115" t="str">
        <f ca="1" t="shared" si="5"/>
        <v>32 Tahun 1 Bulan </v>
      </c>
      <c r="O20" s="54" t="s">
        <v>3051</v>
      </c>
      <c r="P20" s="105">
        <f ca="1" t="shared" si="2"/>
        <v>32</v>
      </c>
      <c r="Q20" s="105" t="str">
        <f ca="1" t="shared" si="3"/>
        <v>OKE</v>
      </c>
      <c r="R20" s="560" t="s">
        <v>3052</v>
      </c>
      <c r="S20" s="54"/>
      <c r="T20" s="54"/>
      <c r="U20" s="54" t="s">
        <v>83</v>
      </c>
      <c r="V20" s="54" t="s">
        <v>3053</v>
      </c>
      <c r="W20" s="52" t="s">
        <v>112</v>
      </c>
      <c r="X20" s="54" t="s">
        <v>533</v>
      </c>
      <c r="Y20" s="194">
        <v>10</v>
      </c>
      <c r="Z20" s="54"/>
      <c r="AA20" s="54"/>
      <c r="AB20" s="54" t="s">
        <v>518</v>
      </c>
      <c r="AC20" s="194">
        <v>77372</v>
      </c>
      <c r="AD20" s="194" t="s">
        <v>518</v>
      </c>
      <c r="AE20" s="54"/>
      <c r="AF20" s="560" t="s">
        <v>3054</v>
      </c>
      <c r="AG20" s="216" t="s">
        <v>3055</v>
      </c>
      <c r="AH20" s="54"/>
      <c r="AI20" s="54"/>
      <c r="AJ20" s="54" t="s">
        <v>3056</v>
      </c>
      <c r="AK20" s="217">
        <v>42736</v>
      </c>
      <c r="AL20" s="115" t="str">
        <f ca="1" t="shared" si="4"/>
        <v>8 Tahun 10 Bulan </v>
      </c>
      <c r="AM20" s="54" t="s">
        <v>92</v>
      </c>
      <c r="AN20" s="54" t="s">
        <v>3057</v>
      </c>
      <c r="AO20" s="54" t="s">
        <v>3058</v>
      </c>
      <c r="AP20" s="54" t="s">
        <v>297</v>
      </c>
      <c r="AQ20" s="54"/>
      <c r="AR20" s="54"/>
      <c r="AS20" s="54"/>
      <c r="AT20" s="54"/>
      <c r="AU20" s="54"/>
      <c r="AV20" s="54" t="s">
        <v>3059</v>
      </c>
      <c r="AW20" s="52" t="s">
        <v>100</v>
      </c>
      <c r="AX20" s="54" t="s">
        <v>101</v>
      </c>
      <c r="AY20" s="54" t="s">
        <v>2648</v>
      </c>
      <c r="AZ20" s="54">
        <v>100</v>
      </c>
      <c r="BA20" s="54" t="s">
        <v>525</v>
      </c>
      <c r="BB20" s="54"/>
      <c r="BC20" s="54" t="s">
        <v>3060</v>
      </c>
      <c r="BD20" s="54"/>
      <c r="BE20" s="54">
        <v>20</v>
      </c>
      <c r="BF20" s="54">
        <v>20</v>
      </c>
      <c r="BG20" s="54"/>
      <c r="BH20" s="281" t="s">
        <v>526</v>
      </c>
      <c r="BI20" s="54" t="s">
        <v>88</v>
      </c>
      <c r="BJ20" s="54" t="s">
        <v>3061</v>
      </c>
      <c r="BK20" s="560" t="s">
        <v>3062</v>
      </c>
    </row>
    <row r="21" spans="1:63">
      <c r="A21" s="47">
        <v>16</v>
      </c>
      <c r="B21" s="54">
        <v>5764</v>
      </c>
      <c r="C21" s="54" t="s">
        <v>509</v>
      </c>
      <c r="D21" s="52" t="s">
        <v>76</v>
      </c>
      <c r="E21" s="54" t="s">
        <v>510</v>
      </c>
      <c r="F21" s="54"/>
      <c r="G21" s="54" t="s">
        <v>3063</v>
      </c>
      <c r="H21" s="54"/>
      <c r="I21" s="113" t="str">
        <f t="shared" si="0"/>
        <v>M. Salim</v>
      </c>
      <c r="J21" s="54" t="s">
        <v>127</v>
      </c>
      <c r="K21" s="102" t="str">
        <f t="shared" si="6"/>
        <v>Laki-laki</v>
      </c>
      <c r="L21" s="54" t="s">
        <v>518</v>
      </c>
      <c r="M21" s="114">
        <v>31956</v>
      </c>
      <c r="N21" s="115" t="str">
        <f ca="1" t="shared" si="5"/>
        <v>38 Tahun 4 Bulan </v>
      </c>
      <c r="O21" s="116">
        <v>28669</v>
      </c>
      <c r="P21" s="105">
        <f ca="1" t="shared" si="2"/>
        <v>47</v>
      </c>
      <c r="Q21" s="105" t="str">
        <f ca="1" t="shared" si="3"/>
        <v>OKE</v>
      </c>
      <c r="R21" s="560" t="s">
        <v>3064</v>
      </c>
      <c r="S21" s="54"/>
      <c r="T21" s="54"/>
      <c r="U21" s="54" t="s">
        <v>3065</v>
      </c>
      <c r="V21" s="54" t="s">
        <v>2936</v>
      </c>
      <c r="W21" s="52" t="s">
        <v>112</v>
      </c>
      <c r="X21" s="54" t="s">
        <v>3066</v>
      </c>
      <c r="Y21" s="194">
        <v>1</v>
      </c>
      <c r="Z21" s="54"/>
      <c r="AA21" s="54"/>
      <c r="AB21" s="54" t="s">
        <v>3067</v>
      </c>
      <c r="AC21" s="194">
        <v>77372</v>
      </c>
      <c r="AD21" s="194" t="s">
        <v>518</v>
      </c>
      <c r="AE21" s="54"/>
      <c r="AF21" s="560" t="s">
        <v>3068</v>
      </c>
      <c r="AG21" s="54"/>
      <c r="AH21" s="54"/>
      <c r="AI21" s="54"/>
      <c r="AJ21" s="54" t="s">
        <v>3069</v>
      </c>
      <c r="AK21" s="217">
        <v>42736</v>
      </c>
      <c r="AL21" s="115" t="str">
        <f ca="1" t="shared" si="4"/>
        <v>8 Tahun 10 Bulan </v>
      </c>
      <c r="AM21" s="54" t="s">
        <v>92</v>
      </c>
      <c r="AN21" s="54" t="s">
        <v>3057</v>
      </c>
      <c r="AO21" s="54" t="s">
        <v>3070</v>
      </c>
      <c r="AP21" s="54" t="s">
        <v>95</v>
      </c>
      <c r="AQ21" s="54" t="s">
        <v>3071</v>
      </c>
      <c r="AR21" s="54"/>
      <c r="AS21" s="54"/>
      <c r="AT21" s="54"/>
      <c r="AU21" s="54"/>
      <c r="AV21" s="54"/>
      <c r="AW21" s="52" t="s">
        <v>100</v>
      </c>
      <c r="AX21" s="54" t="s">
        <v>120</v>
      </c>
      <c r="AY21" s="54"/>
      <c r="AZ21" s="54"/>
      <c r="BA21" s="54"/>
      <c r="BB21" s="54"/>
      <c r="BC21" s="54"/>
      <c r="BD21" s="54"/>
      <c r="BE21" s="54"/>
      <c r="BF21" s="54"/>
      <c r="BG21" s="54"/>
      <c r="BH21" s="281" t="s">
        <v>526</v>
      </c>
      <c r="BI21" s="54" t="s">
        <v>88</v>
      </c>
      <c r="BJ21" s="54" t="s">
        <v>3072</v>
      </c>
      <c r="BK21" s="560" t="s">
        <v>3073</v>
      </c>
    </row>
    <row r="22" spans="1:63">
      <c r="A22" s="10">
        <v>17</v>
      </c>
      <c r="B22" s="54"/>
      <c r="C22" s="54" t="s">
        <v>658</v>
      </c>
      <c r="D22" s="54" t="s">
        <v>76</v>
      </c>
      <c r="E22" s="54" t="s">
        <v>659</v>
      </c>
      <c r="F22" s="54"/>
      <c r="G22" s="54" t="s">
        <v>3074</v>
      </c>
      <c r="H22" s="54" t="s">
        <v>177</v>
      </c>
      <c r="I22" s="50" t="str">
        <f t="shared" si="0"/>
        <v>Agusta Danang Wijaya, S.Pd</v>
      </c>
      <c r="J22" s="117" t="s">
        <v>127</v>
      </c>
      <c r="K22" s="52" t="str">
        <f t="shared" si="6"/>
        <v>Laki-laki</v>
      </c>
      <c r="L22" s="54" t="s">
        <v>3075</v>
      </c>
      <c r="M22" s="118">
        <v>33100</v>
      </c>
      <c r="N22" s="119" t="str">
        <f ca="1" t="shared" si="5"/>
        <v>35 Tahun 2 Bulan </v>
      </c>
      <c r="O22" s="120" t="str">
        <f t="shared" ref="O22:O30" si="8">TEXT(M22,"DD MMMM YYYY")</f>
        <v>15 August 1990</v>
      </c>
      <c r="P22" s="52">
        <f ca="1" t="shared" si="2"/>
        <v>35</v>
      </c>
      <c r="Q22" s="52" t="str">
        <f ca="1" t="shared" si="3"/>
        <v>OKE</v>
      </c>
      <c r="R22" s="650" t="s">
        <v>3076</v>
      </c>
      <c r="S22" s="54"/>
      <c r="T22" s="54"/>
      <c r="U22" s="54" t="s">
        <v>83</v>
      </c>
      <c r="V22" s="12" t="s">
        <v>2917</v>
      </c>
      <c r="W22" s="54" t="s">
        <v>112</v>
      </c>
      <c r="X22" s="54" t="s">
        <v>3077</v>
      </c>
      <c r="Y22" s="54">
        <v>10</v>
      </c>
      <c r="Z22" s="54"/>
      <c r="AA22" s="54"/>
      <c r="AB22" s="54" t="s">
        <v>710</v>
      </c>
      <c r="AC22" s="54">
        <v>77311</v>
      </c>
      <c r="AD22" s="54" t="s">
        <v>292</v>
      </c>
      <c r="AE22" s="54"/>
      <c r="AF22" s="560" t="s">
        <v>3078</v>
      </c>
      <c r="AG22" s="218" t="s">
        <v>3079</v>
      </c>
      <c r="AH22" s="54"/>
      <c r="AI22" s="54"/>
      <c r="AJ22" s="54" t="s">
        <v>3080</v>
      </c>
      <c r="AK22" s="219">
        <v>42552</v>
      </c>
      <c r="AL22" s="119" t="str">
        <f ca="1" t="shared" si="4"/>
        <v>9 Tahun 4 Bulan </v>
      </c>
      <c r="AM22" s="12" t="s">
        <v>92</v>
      </c>
      <c r="AN22" s="12" t="s">
        <v>2922</v>
      </c>
      <c r="AO22" s="54" t="s">
        <v>3081</v>
      </c>
      <c r="AP22" s="54" t="s">
        <v>297</v>
      </c>
      <c r="AQ22" s="54"/>
      <c r="AR22" s="54"/>
      <c r="AS22" s="54"/>
      <c r="AT22" s="54"/>
      <c r="AU22" s="117"/>
      <c r="AV22" s="117"/>
      <c r="AW22" s="12" t="s">
        <v>100</v>
      </c>
      <c r="AX22" s="54" t="s">
        <v>101</v>
      </c>
      <c r="AY22" s="54" t="s">
        <v>1634</v>
      </c>
      <c r="AZ22" s="54"/>
      <c r="BA22" s="54"/>
      <c r="BB22" s="54" t="s">
        <v>3082</v>
      </c>
      <c r="BC22" s="54" t="s">
        <v>374</v>
      </c>
      <c r="BD22" s="54"/>
      <c r="BE22" s="54"/>
      <c r="BF22" s="53">
        <f t="shared" ref="BF22:BF27" si="9">BE22+BD22</f>
        <v>0</v>
      </c>
      <c r="BG22" s="281" t="s">
        <v>374</v>
      </c>
      <c r="BH22" s="12" t="s">
        <v>105</v>
      </c>
      <c r="BI22" s="12" t="s">
        <v>671</v>
      </c>
      <c r="BJ22" s="12" t="s">
        <v>3083</v>
      </c>
      <c r="BK22" s="651" t="s">
        <v>3084</v>
      </c>
    </row>
    <row r="23" spans="1:63">
      <c r="A23" s="47">
        <v>18</v>
      </c>
      <c r="B23" s="54"/>
      <c r="C23" s="12" t="s">
        <v>658</v>
      </c>
      <c r="D23" s="12" t="s">
        <v>76</v>
      </c>
      <c r="E23" s="12" t="s">
        <v>659</v>
      </c>
      <c r="F23" s="54"/>
      <c r="G23" s="12" t="s">
        <v>3085</v>
      </c>
      <c r="H23" s="55" t="s">
        <v>177</v>
      </c>
      <c r="I23" s="50" t="str">
        <f t="shared" si="0"/>
        <v>Hayrul Syam, S.Pd</v>
      </c>
      <c r="J23" s="55" t="s">
        <v>127</v>
      </c>
      <c r="K23" s="52" t="str">
        <f t="shared" si="6"/>
        <v>Laki-laki</v>
      </c>
      <c r="L23" s="12" t="s">
        <v>1536</v>
      </c>
      <c r="M23" s="118">
        <v>32893</v>
      </c>
      <c r="N23" s="119" t="str">
        <f ca="1" t="shared" si="5"/>
        <v>35 Tahun 9 Bulan </v>
      </c>
      <c r="O23" s="120" t="str">
        <f t="shared" si="8"/>
        <v>20 January 1990</v>
      </c>
      <c r="P23" s="52">
        <f ca="1" t="shared" si="2"/>
        <v>35</v>
      </c>
      <c r="Q23" s="52" t="str">
        <f ca="1" t="shared" si="3"/>
        <v>OKE</v>
      </c>
      <c r="R23" s="560" t="s">
        <v>3086</v>
      </c>
      <c r="S23" s="54"/>
      <c r="T23" s="54"/>
      <c r="U23" s="54" t="s">
        <v>83</v>
      </c>
      <c r="V23" s="12" t="s">
        <v>2917</v>
      </c>
      <c r="W23" s="54" t="s">
        <v>112</v>
      </c>
      <c r="X23" s="54" t="s">
        <v>3087</v>
      </c>
      <c r="Y23" s="54">
        <v>16</v>
      </c>
      <c r="Z23" s="54"/>
      <c r="AA23" s="54"/>
      <c r="AB23" s="54" t="s">
        <v>710</v>
      </c>
      <c r="AC23" s="54">
        <v>77311</v>
      </c>
      <c r="AD23" s="54" t="s">
        <v>292</v>
      </c>
      <c r="AE23" s="54"/>
      <c r="AF23" s="560" t="s">
        <v>3088</v>
      </c>
      <c r="AG23" s="54" t="s">
        <v>3089</v>
      </c>
      <c r="AH23" s="54"/>
      <c r="AI23" s="54"/>
      <c r="AJ23" s="54" t="s">
        <v>3090</v>
      </c>
      <c r="AK23" s="219">
        <v>42835</v>
      </c>
      <c r="AL23" s="119" t="str">
        <f ca="1" t="shared" si="4"/>
        <v>8 Tahun 6 Bulan </v>
      </c>
      <c r="AM23" s="12" t="s">
        <v>92</v>
      </c>
      <c r="AN23" s="12" t="s">
        <v>2922</v>
      </c>
      <c r="AO23" s="54" t="s">
        <v>3091</v>
      </c>
      <c r="AP23" s="54" t="s">
        <v>297</v>
      </c>
      <c r="AQ23" s="54"/>
      <c r="AR23" s="54"/>
      <c r="AS23" s="54"/>
      <c r="AT23" s="54"/>
      <c r="AU23" s="54"/>
      <c r="AV23" s="54"/>
      <c r="AW23" s="12" t="s">
        <v>100</v>
      </c>
      <c r="AX23" s="54" t="s">
        <v>101</v>
      </c>
      <c r="AY23" s="54" t="s">
        <v>685</v>
      </c>
      <c r="AZ23" s="54"/>
      <c r="BA23" s="54"/>
      <c r="BB23" s="54" t="s">
        <v>3092</v>
      </c>
      <c r="BC23" s="54" t="s">
        <v>686</v>
      </c>
      <c r="BD23" s="54"/>
      <c r="BE23" s="54">
        <v>28</v>
      </c>
      <c r="BF23" s="53">
        <f t="shared" si="9"/>
        <v>28</v>
      </c>
      <c r="BG23" s="54" t="s">
        <v>686</v>
      </c>
      <c r="BH23" s="12" t="s">
        <v>105</v>
      </c>
      <c r="BI23" s="12" t="s">
        <v>671</v>
      </c>
      <c r="BJ23" s="12" t="s">
        <v>3093</v>
      </c>
      <c r="BK23" s="651" t="s">
        <v>3094</v>
      </c>
    </row>
    <row r="24" spans="1:63">
      <c r="A24" s="10">
        <v>19</v>
      </c>
      <c r="B24" s="54"/>
      <c r="C24" s="12" t="s">
        <v>658</v>
      </c>
      <c r="D24" s="12" t="s">
        <v>76</v>
      </c>
      <c r="E24" s="12" t="s">
        <v>659</v>
      </c>
      <c r="F24" s="54"/>
      <c r="G24" s="12" t="s">
        <v>3095</v>
      </c>
      <c r="H24" s="12" t="s">
        <v>177</v>
      </c>
      <c r="I24" s="50" t="str">
        <f t="shared" si="0"/>
        <v>El Syifa Mawaddah, S.Pd</v>
      </c>
      <c r="J24" s="55" t="s">
        <v>80</v>
      </c>
      <c r="K24" s="52" t="str">
        <f t="shared" si="6"/>
        <v>Perempuan</v>
      </c>
      <c r="L24" s="54" t="s">
        <v>664</v>
      </c>
      <c r="M24" s="118">
        <v>33963</v>
      </c>
      <c r="N24" s="119" t="str">
        <f ca="1" t="shared" si="5"/>
        <v>32 Tahun 10 Bulan </v>
      </c>
      <c r="O24" s="120" t="str">
        <f t="shared" si="8"/>
        <v>25 December 1992</v>
      </c>
      <c r="P24" s="52">
        <f ca="1" t="shared" si="2"/>
        <v>32</v>
      </c>
      <c r="Q24" s="52" t="str">
        <f ca="1" t="shared" si="3"/>
        <v>OKE</v>
      </c>
      <c r="R24" s="560" t="s">
        <v>3096</v>
      </c>
      <c r="S24" s="54"/>
      <c r="T24" s="54"/>
      <c r="U24" s="54" t="s">
        <v>83</v>
      </c>
      <c r="V24" s="12" t="s">
        <v>2917</v>
      </c>
      <c r="W24" s="54" t="s">
        <v>112</v>
      </c>
      <c r="X24" s="54" t="s">
        <v>3097</v>
      </c>
      <c r="Y24" s="54">
        <v>5</v>
      </c>
      <c r="Z24" s="54"/>
      <c r="AA24" s="54"/>
      <c r="AB24" s="54" t="s">
        <v>2052</v>
      </c>
      <c r="AC24" s="54">
        <v>77311</v>
      </c>
      <c r="AD24" s="54" t="s">
        <v>292</v>
      </c>
      <c r="AE24" s="54"/>
      <c r="AF24" s="560" t="s">
        <v>3098</v>
      </c>
      <c r="AG24" s="54" t="s">
        <v>3099</v>
      </c>
      <c r="AH24" s="54"/>
      <c r="AI24" s="54"/>
      <c r="AJ24" s="54" t="s">
        <v>3100</v>
      </c>
      <c r="AK24" s="219">
        <v>42917</v>
      </c>
      <c r="AL24" s="119" t="str">
        <f ca="1" t="shared" si="4"/>
        <v>8 Tahun 4 Bulan </v>
      </c>
      <c r="AM24" s="12" t="s">
        <v>92</v>
      </c>
      <c r="AN24" s="12" t="s">
        <v>2922</v>
      </c>
      <c r="AO24" s="54" t="s">
        <v>3101</v>
      </c>
      <c r="AP24" s="54" t="s">
        <v>95</v>
      </c>
      <c r="AQ24" s="54" t="s">
        <v>3102</v>
      </c>
      <c r="AR24" s="54"/>
      <c r="AS24" s="54"/>
      <c r="AT24" s="54"/>
      <c r="AU24" s="54"/>
      <c r="AV24" s="54"/>
      <c r="AW24" s="12" t="s">
        <v>100</v>
      </c>
      <c r="AX24" s="54" t="s">
        <v>101</v>
      </c>
      <c r="AY24" s="54" t="s">
        <v>1648</v>
      </c>
      <c r="AZ24" s="54"/>
      <c r="BA24" s="54"/>
      <c r="BB24" s="54"/>
      <c r="BC24" s="54" t="s">
        <v>3103</v>
      </c>
      <c r="BD24" s="54"/>
      <c r="BE24" s="54"/>
      <c r="BF24" s="53">
        <f t="shared" si="9"/>
        <v>0</v>
      </c>
      <c r="BG24" s="54" t="s">
        <v>313</v>
      </c>
      <c r="BH24" s="12" t="s">
        <v>105</v>
      </c>
      <c r="BI24" s="12" t="s">
        <v>671</v>
      </c>
      <c r="BJ24" s="12" t="s">
        <v>3104</v>
      </c>
      <c r="BK24" s="651" t="s">
        <v>3105</v>
      </c>
    </row>
    <row r="25" spans="1:63">
      <c r="A25" s="47">
        <v>20</v>
      </c>
      <c r="B25" s="54"/>
      <c r="C25" s="12" t="s">
        <v>658</v>
      </c>
      <c r="D25" s="12" t="s">
        <v>76</v>
      </c>
      <c r="E25" s="12" t="s">
        <v>659</v>
      </c>
      <c r="F25" s="54"/>
      <c r="G25" s="12" t="s">
        <v>3106</v>
      </c>
      <c r="H25" s="12" t="s">
        <v>177</v>
      </c>
      <c r="I25" s="50" t="str">
        <f t="shared" si="0"/>
        <v>Muhammad Diki Hidayat, S.Pd</v>
      </c>
      <c r="J25" s="55" t="s">
        <v>127</v>
      </c>
      <c r="K25" s="52" t="str">
        <f t="shared" si="6"/>
        <v>Laki-laki</v>
      </c>
      <c r="L25" s="54" t="s">
        <v>3107</v>
      </c>
      <c r="M25" s="118">
        <v>33822</v>
      </c>
      <c r="N25" s="119" t="str">
        <f ca="1" t="shared" si="5"/>
        <v>33 Tahun 2 Bulan </v>
      </c>
      <c r="O25" s="120" t="str">
        <f t="shared" si="8"/>
        <v>06 August 1992</v>
      </c>
      <c r="P25" s="52">
        <f ca="1" t="shared" si="2"/>
        <v>33</v>
      </c>
      <c r="Q25" s="52" t="str">
        <f ca="1" t="shared" si="3"/>
        <v>OKE</v>
      </c>
      <c r="R25" s="560" t="s">
        <v>3108</v>
      </c>
      <c r="S25" s="54"/>
      <c r="T25" s="54"/>
      <c r="U25" s="54" t="s">
        <v>83</v>
      </c>
      <c r="V25" s="12" t="s">
        <v>2917</v>
      </c>
      <c r="W25" s="54" t="s">
        <v>112</v>
      </c>
      <c r="X25" s="54" t="s">
        <v>3109</v>
      </c>
      <c r="Y25" s="54">
        <v>9</v>
      </c>
      <c r="Z25" s="54"/>
      <c r="AA25" s="54"/>
      <c r="AB25" s="54" t="s">
        <v>3107</v>
      </c>
      <c r="AC25" s="54">
        <v>77353</v>
      </c>
      <c r="AD25" s="54" t="s">
        <v>321</v>
      </c>
      <c r="AE25" s="54"/>
      <c r="AF25" s="560" t="s">
        <v>3110</v>
      </c>
      <c r="AG25" s="54" t="s">
        <v>3111</v>
      </c>
      <c r="AH25" s="54"/>
      <c r="AI25" s="54"/>
      <c r="AJ25" s="54" t="s">
        <v>3112</v>
      </c>
      <c r="AK25" s="219">
        <v>42997</v>
      </c>
      <c r="AL25" s="119" t="str">
        <f ca="1" t="shared" si="4"/>
        <v>8 Tahun 1 Bulan </v>
      </c>
      <c r="AM25" s="12" t="s">
        <v>92</v>
      </c>
      <c r="AN25" s="12" t="s">
        <v>2922</v>
      </c>
      <c r="AO25" s="54" t="s">
        <v>3113</v>
      </c>
      <c r="AP25" s="54" t="s">
        <v>297</v>
      </c>
      <c r="AQ25" s="54"/>
      <c r="AR25" s="54"/>
      <c r="AS25" s="54"/>
      <c r="AT25" s="54"/>
      <c r="AU25" s="54"/>
      <c r="AV25" s="54"/>
      <c r="AW25" s="12" t="s">
        <v>100</v>
      </c>
      <c r="AX25" s="54" t="s">
        <v>101</v>
      </c>
      <c r="AY25" s="54" t="s">
        <v>3114</v>
      </c>
      <c r="AZ25" s="54"/>
      <c r="BA25" s="54"/>
      <c r="BB25" s="54"/>
      <c r="BC25" s="54" t="s">
        <v>620</v>
      </c>
      <c r="BD25" s="54"/>
      <c r="BE25" s="54">
        <v>22</v>
      </c>
      <c r="BF25" s="53">
        <f t="shared" si="9"/>
        <v>22</v>
      </c>
      <c r="BG25" s="54" t="s">
        <v>3115</v>
      </c>
      <c r="BH25" s="12" t="s">
        <v>105</v>
      </c>
      <c r="BI25" s="12" t="s">
        <v>671</v>
      </c>
      <c r="BJ25" s="12" t="s">
        <v>3116</v>
      </c>
      <c r="BK25" s="651" t="s">
        <v>3117</v>
      </c>
    </row>
    <row r="26" spans="1:63">
      <c r="A26" s="10">
        <v>21</v>
      </c>
      <c r="B26" s="54"/>
      <c r="C26" s="12" t="s">
        <v>658</v>
      </c>
      <c r="D26" s="12" t="s">
        <v>76</v>
      </c>
      <c r="E26" s="12" t="s">
        <v>659</v>
      </c>
      <c r="F26" s="54"/>
      <c r="G26" s="54" t="s">
        <v>3118</v>
      </c>
      <c r="H26" s="54" t="s">
        <v>2988</v>
      </c>
      <c r="I26" s="50" t="str">
        <f t="shared" si="0"/>
        <v>Ahmad Syaddad, M.Pd</v>
      </c>
      <c r="J26" s="55" t="s">
        <v>127</v>
      </c>
      <c r="K26" s="52" t="str">
        <f t="shared" si="6"/>
        <v>Laki-laki</v>
      </c>
      <c r="L26" s="54" t="s">
        <v>771</v>
      </c>
      <c r="M26" s="118">
        <v>33790</v>
      </c>
      <c r="N26" s="119" t="str">
        <f ca="1" t="shared" si="5"/>
        <v>33 Tahun 3 Bulan </v>
      </c>
      <c r="O26" s="120" t="str">
        <f t="shared" si="8"/>
        <v>05 July 1992</v>
      </c>
      <c r="P26" s="52">
        <f ca="1" t="shared" si="2"/>
        <v>33</v>
      </c>
      <c r="Q26" s="52" t="str">
        <f ca="1" t="shared" si="3"/>
        <v>OKE</v>
      </c>
      <c r="R26" s="560" t="s">
        <v>3119</v>
      </c>
      <c r="S26" s="54"/>
      <c r="T26" s="54"/>
      <c r="U26" s="54" t="s">
        <v>83</v>
      </c>
      <c r="V26" s="12" t="s">
        <v>2917</v>
      </c>
      <c r="W26" s="54" t="s">
        <v>112</v>
      </c>
      <c r="X26" s="54" t="s">
        <v>3120</v>
      </c>
      <c r="Y26" s="54">
        <v>4</v>
      </c>
      <c r="Z26" s="54"/>
      <c r="AA26" s="54"/>
      <c r="AB26" s="54" t="s">
        <v>2052</v>
      </c>
      <c r="AC26" s="54">
        <v>77311</v>
      </c>
      <c r="AD26" s="54" t="s">
        <v>292</v>
      </c>
      <c r="AE26" s="54"/>
      <c r="AF26" s="560" t="s">
        <v>3121</v>
      </c>
      <c r="AG26" s="54" t="s">
        <v>3122</v>
      </c>
      <c r="AH26" s="54"/>
      <c r="AI26" s="54"/>
      <c r="AJ26" s="54" t="s">
        <v>3123</v>
      </c>
      <c r="AK26" s="219">
        <v>43102</v>
      </c>
      <c r="AL26" s="119" t="str">
        <f ca="1" t="shared" si="4"/>
        <v>7 Tahun 10 Bulan </v>
      </c>
      <c r="AM26" s="12" t="s">
        <v>92</v>
      </c>
      <c r="AN26" s="12" t="s">
        <v>2922</v>
      </c>
      <c r="AO26" s="54" t="s">
        <v>3124</v>
      </c>
      <c r="AP26" s="54" t="s">
        <v>297</v>
      </c>
      <c r="AQ26" s="54"/>
      <c r="AR26" s="54"/>
      <c r="AS26" s="54"/>
      <c r="AT26" s="54"/>
      <c r="AU26" s="54"/>
      <c r="AV26" s="54"/>
      <c r="AW26" s="12" t="s">
        <v>100</v>
      </c>
      <c r="AX26" s="54" t="s">
        <v>717</v>
      </c>
      <c r="AY26" s="54" t="s">
        <v>3125</v>
      </c>
      <c r="AZ26" s="54"/>
      <c r="BA26" s="54"/>
      <c r="BB26" s="54"/>
      <c r="BC26" s="54" t="s">
        <v>718</v>
      </c>
      <c r="BD26" s="54"/>
      <c r="BE26" s="54">
        <v>26</v>
      </c>
      <c r="BF26" s="53">
        <f t="shared" si="9"/>
        <v>26</v>
      </c>
      <c r="BG26" s="54" t="s">
        <v>3126</v>
      </c>
      <c r="BH26" s="12" t="s">
        <v>105</v>
      </c>
      <c r="BI26" s="12" t="s">
        <v>671</v>
      </c>
      <c r="BJ26" s="54" t="s">
        <v>3127</v>
      </c>
      <c r="BK26" s="598" t="s">
        <v>3128</v>
      </c>
    </row>
    <row r="27" s="1" customFormat="1" spans="1:64">
      <c r="A27" s="47">
        <v>22</v>
      </c>
      <c r="B27" s="56"/>
      <c r="C27" s="50" t="s">
        <v>75</v>
      </c>
      <c r="D27" s="52" t="s">
        <v>76</v>
      </c>
      <c r="E27" s="52" t="s">
        <v>828</v>
      </c>
      <c r="F27" s="51"/>
      <c r="G27" s="57" t="s">
        <v>3129</v>
      </c>
      <c r="H27" s="58" t="s">
        <v>177</v>
      </c>
      <c r="I27" s="113" t="str">
        <f t="shared" si="0"/>
        <v>Nurul Liyani, S.Pd</v>
      </c>
      <c r="J27" s="58" t="s">
        <v>80</v>
      </c>
      <c r="K27" s="121" t="str">
        <f t="shared" si="6"/>
        <v>Perempuan</v>
      </c>
      <c r="L27" s="52" t="s">
        <v>75</v>
      </c>
      <c r="M27" s="122">
        <v>34171</v>
      </c>
      <c r="N27" s="123" t="str">
        <f ca="1" t="shared" si="5"/>
        <v>32 Tahun 3 Bulan </v>
      </c>
      <c r="O27" s="124" t="str">
        <f t="shared" si="8"/>
        <v>21 July 1993</v>
      </c>
      <c r="P27" s="125">
        <f ca="1" t="shared" si="2"/>
        <v>32</v>
      </c>
      <c r="Q27" s="105" t="str">
        <f ca="1" t="shared" si="3"/>
        <v>OKE</v>
      </c>
      <c r="R27" s="557" t="s">
        <v>3130</v>
      </c>
      <c r="S27" s="569" t="s">
        <v>156</v>
      </c>
      <c r="T27" s="569" t="s">
        <v>156</v>
      </c>
      <c r="U27" s="50" t="s">
        <v>83</v>
      </c>
      <c r="V27" s="50" t="s">
        <v>2917</v>
      </c>
      <c r="W27" s="50" t="s">
        <v>112</v>
      </c>
      <c r="X27" s="53" t="s">
        <v>3131</v>
      </c>
      <c r="Y27" s="58">
        <v>5</v>
      </c>
      <c r="Z27" s="570" t="s">
        <v>156</v>
      </c>
      <c r="AA27" s="53" t="s">
        <v>209</v>
      </c>
      <c r="AB27" s="50" t="s">
        <v>893</v>
      </c>
      <c r="AC27" s="36">
        <v>77353</v>
      </c>
      <c r="AD27" s="50" t="s">
        <v>321</v>
      </c>
      <c r="AE27" s="652" t="s">
        <v>156</v>
      </c>
      <c r="AF27" s="576" t="s">
        <v>3132</v>
      </c>
      <c r="AG27" s="220" t="s">
        <v>3133</v>
      </c>
      <c r="AH27" s="569" t="s">
        <v>156</v>
      </c>
      <c r="AI27" s="569" t="s">
        <v>156</v>
      </c>
      <c r="AJ27" s="50" t="s">
        <v>3134</v>
      </c>
      <c r="AK27" s="221">
        <v>42614</v>
      </c>
      <c r="AL27" s="123" t="str">
        <f ca="1" t="shared" si="4"/>
        <v>9 Tahun 2 Bulan </v>
      </c>
      <c r="AM27" s="50" t="s">
        <v>92</v>
      </c>
      <c r="AN27" s="50" t="s">
        <v>2922</v>
      </c>
      <c r="AO27" s="50" t="s">
        <v>3135</v>
      </c>
      <c r="AP27" s="50" t="s">
        <v>297</v>
      </c>
      <c r="AQ27" s="50"/>
      <c r="AR27" s="558" t="s">
        <v>156</v>
      </c>
      <c r="AS27" s="557" t="s">
        <v>156</v>
      </c>
      <c r="AT27" s="558" t="s">
        <v>156</v>
      </c>
      <c r="AU27" s="557" t="s">
        <v>156</v>
      </c>
      <c r="AV27" s="558" t="s">
        <v>156</v>
      </c>
      <c r="AW27" s="52" t="s">
        <v>100</v>
      </c>
      <c r="AX27" s="50" t="s">
        <v>101</v>
      </c>
      <c r="AY27" s="50" t="s">
        <v>3136</v>
      </c>
      <c r="AZ27" s="558" t="s">
        <v>156</v>
      </c>
      <c r="BA27" s="558" t="s">
        <v>156</v>
      </c>
      <c r="BB27" s="50" t="s">
        <v>3137</v>
      </c>
      <c r="BC27" s="53" t="s">
        <v>3138</v>
      </c>
      <c r="BD27" s="53">
        <v>16</v>
      </c>
      <c r="BE27" s="53">
        <v>16</v>
      </c>
      <c r="BF27" s="286">
        <f t="shared" si="9"/>
        <v>32</v>
      </c>
      <c r="BG27" s="652" t="s">
        <v>156</v>
      </c>
      <c r="BH27" s="53" t="s">
        <v>526</v>
      </c>
      <c r="BI27" s="50" t="s">
        <v>209</v>
      </c>
      <c r="BJ27" s="53" t="s">
        <v>3129</v>
      </c>
      <c r="BK27" s="603" t="s">
        <v>3139</v>
      </c>
      <c r="BL27" s="284"/>
    </row>
    <row r="28" s="1" customFormat="1" spans="1:64">
      <c r="A28" s="10">
        <v>23</v>
      </c>
      <c r="B28" s="56"/>
      <c r="C28" s="54" t="s">
        <v>75</v>
      </c>
      <c r="D28" s="54" t="s">
        <v>76</v>
      </c>
      <c r="E28" s="54" t="s">
        <v>3140</v>
      </c>
      <c r="F28" s="51"/>
      <c r="G28" s="59" t="s">
        <v>3141</v>
      </c>
      <c r="H28" s="60" t="s">
        <v>177</v>
      </c>
      <c r="I28" s="113" t="str">
        <f t="shared" si="0"/>
        <v>Feri Febrian Susanto, S.Pd</v>
      </c>
      <c r="J28" s="60" t="s">
        <v>127</v>
      </c>
      <c r="K28" s="52" t="str">
        <f t="shared" si="6"/>
        <v>Laki-laki</v>
      </c>
      <c r="L28" s="112" t="s">
        <v>88</v>
      </c>
      <c r="M28" s="126">
        <v>31673</v>
      </c>
      <c r="N28" s="119" t="str">
        <f ca="1" t="shared" si="5"/>
        <v>39 Tahun 1 Bulan </v>
      </c>
      <c r="O28" s="120" t="str">
        <f t="shared" si="8"/>
        <v>18 September 1986</v>
      </c>
      <c r="P28" s="51">
        <f ca="1" t="shared" si="2"/>
        <v>39</v>
      </c>
      <c r="Q28" s="105" t="str">
        <f ca="1" t="shared" si="3"/>
        <v>OKE</v>
      </c>
      <c r="R28" s="112" t="s">
        <v>3142</v>
      </c>
      <c r="S28" s="12"/>
      <c r="T28" s="60" t="s">
        <v>3143</v>
      </c>
      <c r="U28" s="12" t="s">
        <v>83</v>
      </c>
      <c r="V28" s="12" t="s">
        <v>2917</v>
      </c>
      <c r="W28" s="12" t="s">
        <v>112</v>
      </c>
      <c r="X28" s="12" t="s">
        <v>3144</v>
      </c>
      <c r="Y28" s="60">
        <v>11</v>
      </c>
      <c r="Z28" s="570" t="s">
        <v>156</v>
      </c>
      <c r="AA28" s="12" t="s">
        <v>423</v>
      </c>
      <c r="AB28" s="12" t="s">
        <v>423</v>
      </c>
      <c r="AC28" s="12">
        <v>77311</v>
      </c>
      <c r="AD28" s="12" t="s">
        <v>292</v>
      </c>
      <c r="AE28" s="652" t="s">
        <v>156</v>
      </c>
      <c r="AF28" s="12" t="s">
        <v>3145</v>
      </c>
      <c r="AG28" s="12" t="s">
        <v>3146</v>
      </c>
      <c r="AH28" s="569" t="s">
        <v>156</v>
      </c>
      <c r="AI28" s="569" t="s">
        <v>156</v>
      </c>
      <c r="AJ28" s="12" t="s">
        <v>3147</v>
      </c>
      <c r="AK28" s="222">
        <v>42558</v>
      </c>
      <c r="AL28" s="123" t="str">
        <f ca="1" t="shared" si="4"/>
        <v>9 Tahun 3 Bulan </v>
      </c>
      <c r="AM28" s="12" t="s">
        <v>92</v>
      </c>
      <c r="AN28" s="50" t="s">
        <v>2922</v>
      </c>
      <c r="AO28" s="12" t="s">
        <v>3148</v>
      </c>
      <c r="AP28" s="112" t="s">
        <v>3149</v>
      </c>
      <c r="AQ28" s="556" t="s">
        <v>156</v>
      </c>
      <c r="AR28" s="556" t="s">
        <v>156</v>
      </c>
      <c r="AS28" s="556" t="s">
        <v>156</v>
      </c>
      <c r="AT28" s="126"/>
      <c r="AU28" s="653" t="s">
        <v>156</v>
      </c>
      <c r="AV28" s="12" t="s">
        <v>3150</v>
      </c>
      <c r="AW28" s="52" t="s">
        <v>100</v>
      </c>
      <c r="AX28" s="54" t="s">
        <v>101</v>
      </c>
      <c r="AY28" s="54" t="s">
        <v>3151</v>
      </c>
      <c r="AZ28" s="558" t="s">
        <v>156</v>
      </c>
      <c r="BA28" s="558" t="s">
        <v>156</v>
      </c>
      <c r="BB28" s="54" t="s">
        <v>3152</v>
      </c>
      <c r="BC28" s="54" t="s">
        <v>2536</v>
      </c>
      <c r="BD28" s="54">
        <v>23</v>
      </c>
      <c r="BE28" s="54">
        <v>23</v>
      </c>
      <c r="BF28" s="54">
        <v>23</v>
      </c>
      <c r="BG28" s="562" t="s">
        <v>156</v>
      </c>
      <c r="BH28" s="54" t="s">
        <v>526</v>
      </c>
      <c r="BI28" s="54" t="s">
        <v>1151</v>
      </c>
      <c r="BJ28" s="12" t="s">
        <v>3153</v>
      </c>
      <c r="BK28" s="601" t="s">
        <v>3154</v>
      </c>
      <c r="BL28" s="284"/>
    </row>
    <row r="29" s="1" customFormat="1" spans="1:64">
      <c r="A29" s="47">
        <v>24</v>
      </c>
      <c r="B29" s="56"/>
      <c r="C29" s="50" t="s">
        <v>75</v>
      </c>
      <c r="D29" s="52" t="s">
        <v>76</v>
      </c>
      <c r="E29" s="52" t="s">
        <v>828</v>
      </c>
      <c r="F29" s="51"/>
      <c r="G29" s="57" t="s">
        <v>3155</v>
      </c>
      <c r="H29" s="58"/>
      <c r="I29" s="113" t="str">
        <f t="shared" si="0"/>
        <v>Junaida</v>
      </c>
      <c r="J29" s="58" t="s">
        <v>80</v>
      </c>
      <c r="K29" s="121" t="str">
        <f t="shared" si="6"/>
        <v>Perempuan</v>
      </c>
      <c r="L29" s="52" t="s">
        <v>1232</v>
      </c>
      <c r="M29" s="122">
        <v>22463</v>
      </c>
      <c r="N29" s="123" t="str">
        <f ca="1" t="shared" si="5"/>
        <v>64 Tahun 4 Bulan </v>
      </c>
      <c r="O29" s="124" t="str">
        <f t="shared" si="8"/>
        <v>01 July 1961</v>
      </c>
      <c r="P29" s="125">
        <f ca="1" t="shared" si="2"/>
        <v>64</v>
      </c>
      <c r="Q29" s="105" t="str">
        <f ca="1" t="shared" si="3"/>
        <v>Lewat</v>
      </c>
      <c r="R29" s="557" t="s">
        <v>3156</v>
      </c>
      <c r="S29" s="569" t="s">
        <v>156</v>
      </c>
      <c r="T29" s="569" t="s">
        <v>156</v>
      </c>
      <c r="U29" s="39" t="s">
        <v>792</v>
      </c>
      <c r="V29" s="50" t="s">
        <v>2936</v>
      </c>
      <c r="W29" s="50" t="s">
        <v>112</v>
      </c>
      <c r="X29" s="53" t="s">
        <v>3157</v>
      </c>
      <c r="Y29" s="58">
        <v>8</v>
      </c>
      <c r="Z29" s="570" t="s">
        <v>156</v>
      </c>
      <c r="AA29" s="53" t="s">
        <v>209</v>
      </c>
      <c r="AB29" s="50" t="s">
        <v>209</v>
      </c>
      <c r="AC29" s="36">
        <v>77352</v>
      </c>
      <c r="AD29" s="50" t="s">
        <v>438</v>
      </c>
      <c r="AE29" s="652" t="s">
        <v>156</v>
      </c>
      <c r="AF29" s="576" t="s">
        <v>3158</v>
      </c>
      <c r="AG29" s="557" t="s">
        <v>156</v>
      </c>
      <c r="AH29" s="569" t="s">
        <v>156</v>
      </c>
      <c r="AI29" s="569" t="s">
        <v>156</v>
      </c>
      <c r="AJ29" s="50" t="s">
        <v>3159</v>
      </c>
      <c r="AK29" s="221">
        <v>42933</v>
      </c>
      <c r="AL29" s="123" t="str">
        <f ca="1" t="shared" si="4"/>
        <v>8 Tahun 3 Bulan </v>
      </c>
      <c r="AM29" s="12" t="s">
        <v>92</v>
      </c>
      <c r="AN29" s="50" t="s">
        <v>2922</v>
      </c>
      <c r="AO29" s="50" t="s">
        <v>3160</v>
      </c>
      <c r="AP29" s="50" t="s">
        <v>95</v>
      </c>
      <c r="AQ29" s="50" t="s">
        <v>3161</v>
      </c>
      <c r="AR29" s="558" t="s">
        <v>156</v>
      </c>
      <c r="AS29" s="557" t="s">
        <v>156</v>
      </c>
      <c r="AT29" s="558" t="s">
        <v>156</v>
      </c>
      <c r="AU29" s="557" t="s">
        <v>156</v>
      </c>
      <c r="AV29" s="558" t="s">
        <v>156</v>
      </c>
      <c r="AW29" s="52" t="s">
        <v>100</v>
      </c>
      <c r="AX29" s="50" t="s">
        <v>3162</v>
      </c>
      <c r="AY29" s="557" t="s">
        <v>156</v>
      </c>
      <c r="AZ29" s="558" t="s">
        <v>156</v>
      </c>
      <c r="BA29" s="558" t="s">
        <v>156</v>
      </c>
      <c r="BB29" s="557" t="s">
        <v>156</v>
      </c>
      <c r="BC29" s="558" t="s">
        <v>156</v>
      </c>
      <c r="BD29" s="53">
        <v>0</v>
      </c>
      <c r="BE29" s="53">
        <v>24</v>
      </c>
      <c r="BF29" s="286">
        <v>24</v>
      </c>
      <c r="BG29" s="652" t="s">
        <v>156</v>
      </c>
      <c r="BH29" s="54" t="s">
        <v>526</v>
      </c>
      <c r="BI29" s="50" t="s">
        <v>3163</v>
      </c>
      <c r="BJ29" s="53" t="s">
        <v>3155</v>
      </c>
      <c r="BK29" s="557" t="s">
        <v>3164</v>
      </c>
      <c r="BL29" s="284"/>
    </row>
    <row r="30" s="1" customFormat="1" spans="1:64">
      <c r="A30" s="10">
        <v>25</v>
      </c>
      <c r="B30" s="56"/>
      <c r="C30" s="50" t="s">
        <v>75</v>
      </c>
      <c r="D30" s="52" t="s">
        <v>76</v>
      </c>
      <c r="E30" s="52" t="s">
        <v>828</v>
      </c>
      <c r="F30" s="51"/>
      <c r="G30" s="57" t="s">
        <v>3165</v>
      </c>
      <c r="H30" s="58" t="s">
        <v>177</v>
      </c>
      <c r="I30" s="113" t="str">
        <f t="shared" si="0"/>
        <v>Nurma Indriyani, S.Pd</v>
      </c>
      <c r="J30" s="58" t="s">
        <v>80</v>
      </c>
      <c r="K30" s="121" t="str">
        <f t="shared" si="6"/>
        <v>Perempuan</v>
      </c>
      <c r="L30" s="52" t="s">
        <v>3166</v>
      </c>
      <c r="M30" s="122">
        <v>34160</v>
      </c>
      <c r="N30" s="119" t="str">
        <f ca="1" t="shared" si="5"/>
        <v>32 Tahun 3 Bulan </v>
      </c>
      <c r="O30" s="120" t="str">
        <f t="shared" si="8"/>
        <v>10 July 1993</v>
      </c>
      <c r="P30" s="51">
        <f ca="1" t="shared" si="2"/>
        <v>32</v>
      </c>
      <c r="Q30" s="105" t="str">
        <f ca="1" t="shared" si="3"/>
        <v>OKE</v>
      </c>
      <c r="R30" s="557" t="s">
        <v>3167</v>
      </c>
      <c r="S30" s="567" t="s">
        <v>156</v>
      </c>
      <c r="T30" s="567" t="s">
        <v>156</v>
      </c>
      <c r="U30" s="50" t="s">
        <v>83</v>
      </c>
      <c r="V30" s="50" t="s">
        <v>2917</v>
      </c>
      <c r="W30" s="50" t="s">
        <v>112</v>
      </c>
      <c r="X30" s="53" t="s">
        <v>147</v>
      </c>
      <c r="Y30" s="58">
        <v>7</v>
      </c>
      <c r="Z30" s="570" t="s">
        <v>156</v>
      </c>
      <c r="AA30" s="53" t="s">
        <v>148</v>
      </c>
      <c r="AB30" s="50" t="s">
        <v>148</v>
      </c>
      <c r="AC30" s="36">
        <v>77315</v>
      </c>
      <c r="AD30" s="50" t="s">
        <v>321</v>
      </c>
      <c r="AE30" s="652" t="s">
        <v>156</v>
      </c>
      <c r="AF30" s="576" t="s">
        <v>3168</v>
      </c>
      <c r="AG30" s="220" t="s">
        <v>3169</v>
      </c>
      <c r="AH30" s="567" t="s">
        <v>156</v>
      </c>
      <c r="AI30" s="567" t="s">
        <v>156</v>
      </c>
      <c r="AJ30" s="50" t="s">
        <v>3170</v>
      </c>
      <c r="AK30" s="221">
        <v>42933</v>
      </c>
      <c r="AL30" s="123" t="str">
        <f ca="1" t="shared" si="4"/>
        <v>8 Tahun 3 Bulan </v>
      </c>
      <c r="AM30" s="50" t="s">
        <v>92</v>
      </c>
      <c r="AN30" s="50" t="s">
        <v>2922</v>
      </c>
      <c r="AO30" s="50" t="s">
        <v>3171</v>
      </c>
      <c r="AP30" s="50" t="s">
        <v>169</v>
      </c>
      <c r="AQ30" s="557" t="s">
        <v>156</v>
      </c>
      <c r="AR30" s="558" t="s">
        <v>156</v>
      </c>
      <c r="AS30" s="557" t="s">
        <v>156</v>
      </c>
      <c r="AT30" s="558" t="s">
        <v>156</v>
      </c>
      <c r="AU30" s="557" t="s">
        <v>156</v>
      </c>
      <c r="AV30" s="558" t="s">
        <v>156</v>
      </c>
      <c r="AW30" s="52" t="s">
        <v>100</v>
      </c>
      <c r="AX30" s="50" t="s">
        <v>101</v>
      </c>
      <c r="AY30" s="50" t="s">
        <v>1007</v>
      </c>
      <c r="AZ30" s="558" t="s">
        <v>156</v>
      </c>
      <c r="BA30" s="558" t="s">
        <v>156</v>
      </c>
      <c r="BB30" s="50" t="s">
        <v>3137</v>
      </c>
      <c r="BC30" s="53" t="s">
        <v>3172</v>
      </c>
      <c r="BD30" s="53">
        <v>0</v>
      </c>
      <c r="BE30" s="53">
        <v>16</v>
      </c>
      <c r="BF30" s="53">
        <v>16</v>
      </c>
      <c r="BG30" s="652" t="s">
        <v>156</v>
      </c>
      <c r="BH30" s="53" t="s">
        <v>526</v>
      </c>
      <c r="BI30" s="50" t="s">
        <v>3163</v>
      </c>
      <c r="BJ30" s="53" t="s">
        <v>3165</v>
      </c>
      <c r="BK30" s="52">
        <v>1558900306</v>
      </c>
      <c r="BL30" s="284"/>
    </row>
    <row r="31" ht="15" customHeight="1" spans="1:63">
      <c r="A31" s="47">
        <v>26</v>
      </c>
      <c r="B31" s="56"/>
      <c r="C31" s="61" t="s">
        <v>75</v>
      </c>
      <c r="D31" s="61" t="s">
        <v>76</v>
      </c>
      <c r="E31" s="61" t="s">
        <v>828</v>
      </c>
      <c r="F31" s="62"/>
      <c r="G31" s="61" t="s">
        <v>3173</v>
      </c>
      <c r="H31" s="62" t="s">
        <v>177</v>
      </c>
      <c r="I31" s="113" t="str">
        <f t="shared" si="0"/>
        <v>Meidah Sri Utami Adi, S.Pd</v>
      </c>
      <c r="J31" s="62" t="s">
        <v>80</v>
      </c>
      <c r="K31" s="61" t="s">
        <v>3174</v>
      </c>
      <c r="L31" s="127" t="s">
        <v>209</v>
      </c>
      <c r="M31" s="128">
        <v>33378</v>
      </c>
      <c r="N31" s="61" t="s">
        <v>3175</v>
      </c>
      <c r="O31" s="128">
        <v>33378</v>
      </c>
      <c r="P31" s="62">
        <v>26</v>
      </c>
      <c r="Q31" s="105" t="str">
        <f t="shared" si="3"/>
        <v>OKE</v>
      </c>
      <c r="R31" s="654" t="s">
        <v>3176</v>
      </c>
      <c r="S31" s="655" t="s">
        <v>156</v>
      </c>
      <c r="T31" s="655" t="s">
        <v>156</v>
      </c>
      <c r="U31" s="61" t="s">
        <v>83</v>
      </c>
      <c r="V31" s="61" t="s">
        <v>2917</v>
      </c>
      <c r="W31" s="61" t="s">
        <v>112</v>
      </c>
      <c r="X31" s="61" t="s">
        <v>3177</v>
      </c>
      <c r="Y31" s="62">
        <v>8</v>
      </c>
      <c r="Z31" s="655" t="s">
        <v>156</v>
      </c>
      <c r="AA31" s="61" t="s">
        <v>209</v>
      </c>
      <c r="AB31" s="61" t="s">
        <v>209</v>
      </c>
      <c r="AC31" s="61">
        <v>77352</v>
      </c>
      <c r="AD31" s="61" t="s">
        <v>438</v>
      </c>
      <c r="AE31" s="656" t="s">
        <v>156</v>
      </c>
      <c r="AF31" s="655" t="s">
        <v>3178</v>
      </c>
      <c r="AG31" s="223" t="s">
        <v>3179</v>
      </c>
      <c r="AH31" s="656" t="s">
        <v>156</v>
      </c>
      <c r="AI31" s="656" t="s">
        <v>156</v>
      </c>
      <c r="AJ31" s="61" t="s">
        <v>3180</v>
      </c>
      <c r="AK31" s="150">
        <v>43102</v>
      </c>
      <c r="AL31" s="123" t="str">
        <f ca="1" t="shared" si="4"/>
        <v>7 Tahun 10 Bulan </v>
      </c>
      <c r="AM31" s="50" t="s">
        <v>92</v>
      </c>
      <c r="AN31" s="50" t="s">
        <v>2922</v>
      </c>
      <c r="AO31" s="61" t="s">
        <v>3181</v>
      </c>
      <c r="AP31" s="127" t="s">
        <v>297</v>
      </c>
      <c r="AQ31" s="655" t="s">
        <v>156</v>
      </c>
      <c r="AR31" s="655" t="s">
        <v>156</v>
      </c>
      <c r="AS31" s="655" t="s">
        <v>156</v>
      </c>
      <c r="AT31" s="655" t="s">
        <v>156</v>
      </c>
      <c r="AU31" s="655" t="s">
        <v>156</v>
      </c>
      <c r="AV31" s="655" t="s">
        <v>156</v>
      </c>
      <c r="AW31" s="52" t="s">
        <v>100</v>
      </c>
      <c r="AX31" s="61" t="s">
        <v>101</v>
      </c>
      <c r="AY31" s="61" t="s">
        <v>1007</v>
      </c>
      <c r="AZ31" s="655" t="s">
        <v>156</v>
      </c>
      <c r="BA31" s="655" t="s">
        <v>156</v>
      </c>
      <c r="BB31" s="50" t="s">
        <v>3137</v>
      </c>
      <c r="BC31" s="61" t="s">
        <v>686</v>
      </c>
      <c r="BD31" s="61">
        <v>0</v>
      </c>
      <c r="BE31" s="61">
        <v>16</v>
      </c>
      <c r="BF31" s="61">
        <v>16</v>
      </c>
      <c r="BG31" s="656" t="s">
        <v>156</v>
      </c>
      <c r="BH31" s="53" t="s">
        <v>526</v>
      </c>
      <c r="BI31" s="61" t="s">
        <v>3163</v>
      </c>
      <c r="BJ31" s="61" t="s">
        <v>3173</v>
      </c>
      <c r="BK31" s="127">
        <v>1552234959</v>
      </c>
    </row>
    <row r="32" ht="15" customHeight="1" spans="1:63">
      <c r="A32" s="10">
        <v>27</v>
      </c>
      <c r="B32" s="56"/>
      <c r="C32" s="61" t="s">
        <v>75</v>
      </c>
      <c r="D32" s="61" t="s">
        <v>76</v>
      </c>
      <c r="E32" s="61" t="s">
        <v>828</v>
      </c>
      <c r="F32" s="62"/>
      <c r="G32" s="61" t="s">
        <v>3182</v>
      </c>
      <c r="H32" s="62" t="s">
        <v>177</v>
      </c>
      <c r="I32" s="113" t="str">
        <f t="shared" si="0"/>
        <v>Irwan, S.Pd</v>
      </c>
      <c r="J32" s="62" t="s">
        <v>127</v>
      </c>
      <c r="K32" s="61" t="s">
        <v>2570</v>
      </c>
      <c r="L32" s="127" t="s">
        <v>75</v>
      </c>
      <c r="M32" s="128">
        <v>33839</v>
      </c>
      <c r="N32" s="61" t="s">
        <v>3183</v>
      </c>
      <c r="O32" s="128">
        <v>33839</v>
      </c>
      <c r="P32" s="62">
        <v>25</v>
      </c>
      <c r="Q32" s="105" t="str">
        <f t="shared" si="3"/>
        <v>OKE</v>
      </c>
      <c r="R32" s="654" t="s">
        <v>3184</v>
      </c>
      <c r="S32" s="655" t="s">
        <v>156</v>
      </c>
      <c r="T32" s="655" t="s">
        <v>156</v>
      </c>
      <c r="U32" s="61" t="s">
        <v>83</v>
      </c>
      <c r="V32" s="61" t="s">
        <v>2917</v>
      </c>
      <c r="W32" s="61" t="s">
        <v>112</v>
      </c>
      <c r="X32" s="61" t="s">
        <v>3185</v>
      </c>
      <c r="Y32" s="62">
        <v>10</v>
      </c>
      <c r="Z32" s="655" t="s">
        <v>156</v>
      </c>
      <c r="AA32" s="61" t="s">
        <v>209</v>
      </c>
      <c r="AB32" s="61" t="s">
        <v>209</v>
      </c>
      <c r="AC32" s="61">
        <v>77352</v>
      </c>
      <c r="AD32" s="61" t="s">
        <v>438</v>
      </c>
      <c r="AE32" s="656" t="s">
        <v>156</v>
      </c>
      <c r="AF32" s="655" t="s">
        <v>3186</v>
      </c>
      <c r="AG32" s="223" t="s">
        <v>3187</v>
      </c>
      <c r="AH32" s="656" t="s">
        <v>156</v>
      </c>
      <c r="AI32" s="656" t="s">
        <v>156</v>
      </c>
      <c r="AJ32" s="61" t="s">
        <v>3188</v>
      </c>
      <c r="AK32" s="150">
        <v>43102</v>
      </c>
      <c r="AL32" s="123" t="str">
        <f ca="1" t="shared" si="4"/>
        <v>7 Tahun 10 Bulan </v>
      </c>
      <c r="AM32" s="50" t="s">
        <v>92</v>
      </c>
      <c r="AN32" s="50" t="s">
        <v>2922</v>
      </c>
      <c r="AO32" s="61" t="s">
        <v>3189</v>
      </c>
      <c r="AP32" s="127" t="s">
        <v>297</v>
      </c>
      <c r="AQ32" s="655" t="s">
        <v>156</v>
      </c>
      <c r="AR32" s="655" t="s">
        <v>156</v>
      </c>
      <c r="AS32" s="655" t="s">
        <v>156</v>
      </c>
      <c r="AT32" s="655" t="s">
        <v>156</v>
      </c>
      <c r="AU32" s="655" t="s">
        <v>156</v>
      </c>
      <c r="AV32" s="655" t="s">
        <v>156</v>
      </c>
      <c r="AW32" s="52" t="s">
        <v>100</v>
      </c>
      <c r="AX32" s="61" t="s">
        <v>101</v>
      </c>
      <c r="AY32" s="61" t="s">
        <v>3190</v>
      </c>
      <c r="AZ32" s="655" t="s">
        <v>156</v>
      </c>
      <c r="BA32" s="655" t="s">
        <v>156</v>
      </c>
      <c r="BB32" s="50" t="s">
        <v>3137</v>
      </c>
      <c r="BC32" s="61" t="s">
        <v>3191</v>
      </c>
      <c r="BD32" s="61">
        <v>0</v>
      </c>
      <c r="BE32" s="61">
        <v>24</v>
      </c>
      <c r="BF32" s="61">
        <v>24</v>
      </c>
      <c r="BG32" s="656" t="s">
        <v>156</v>
      </c>
      <c r="BH32" s="53" t="s">
        <v>526</v>
      </c>
      <c r="BI32" s="61" t="s">
        <v>3163</v>
      </c>
      <c r="BJ32" s="61" t="s">
        <v>3182</v>
      </c>
      <c r="BK32" s="127">
        <v>1552234711</v>
      </c>
    </row>
    <row r="33" s="40" customFormat="1" ht="20.25" customHeight="1" spans="1:254">
      <c r="A33" s="47">
        <v>28</v>
      </c>
      <c r="B33" s="63"/>
      <c r="C33" s="63" t="s">
        <v>658</v>
      </c>
      <c r="D33" s="63" t="s">
        <v>76</v>
      </c>
      <c r="E33" s="63" t="s">
        <v>870</v>
      </c>
      <c r="F33" s="64"/>
      <c r="G33" s="65" t="s">
        <v>3192</v>
      </c>
      <c r="H33" s="66" t="s">
        <v>177</v>
      </c>
      <c r="I33" s="113" t="str">
        <f t="shared" si="0"/>
        <v>Santi Werdiningsih, S.Pd</v>
      </c>
      <c r="J33" s="129" t="s">
        <v>80</v>
      </c>
      <c r="K33" s="102" t="str">
        <f t="shared" ref="K33:K62" si="10">IF(J33="P","Perempuan",IF(J33="L","Laki-laki"))</f>
        <v>Perempuan</v>
      </c>
      <c r="L33" s="130" t="s">
        <v>3193</v>
      </c>
      <c r="M33" s="131">
        <v>32645</v>
      </c>
      <c r="N33" s="132" t="str">
        <f ca="1" t="shared" ref="N33:N62" si="11">+DATEDIF(M33,NOW(),"Y")&amp;" Tahun "&amp;+DATEDIF(M33,NOW(),"YM")&amp;" Bulan "</f>
        <v>36 Tahun 5 Bulan </v>
      </c>
      <c r="O33" s="133" t="str">
        <f t="shared" ref="O33:O45" si="12">TEXT(M33,"DD MMMM YYYY")</f>
        <v>17 May 1989</v>
      </c>
      <c r="P33" s="63">
        <f ca="1" t="shared" ref="P33:P62" si="13">+DATEDIF(O33,NOW(),"Y")</f>
        <v>36</v>
      </c>
      <c r="Q33" s="63" t="str">
        <f ca="1" t="shared" si="3"/>
        <v>OKE</v>
      </c>
      <c r="R33" s="583" t="s">
        <v>3194</v>
      </c>
      <c r="S33" s="64"/>
      <c r="T33" s="583" t="s">
        <v>156</v>
      </c>
      <c r="U33" s="130" t="s">
        <v>83</v>
      </c>
      <c r="V33" s="129" t="s">
        <v>2917</v>
      </c>
      <c r="W33" s="63" t="s">
        <v>112</v>
      </c>
      <c r="X33" s="130" t="s">
        <v>3195</v>
      </c>
      <c r="Y33" s="129">
        <v>7</v>
      </c>
      <c r="Z33" s="129"/>
      <c r="AA33" s="130"/>
      <c r="AB33" s="130" t="s">
        <v>893</v>
      </c>
      <c r="AC33" s="129">
        <v>77353</v>
      </c>
      <c r="AD33" s="130" t="s">
        <v>131</v>
      </c>
      <c r="AE33" s="130"/>
      <c r="AF33" s="583" t="s">
        <v>3196</v>
      </c>
      <c r="AG33" s="130" t="s">
        <v>3197</v>
      </c>
      <c r="AH33" s="64"/>
      <c r="AI33" s="64"/>
      <c r="AJ33" s="130" t="s">
        <v>3198</v>
      </c>
      <c r="AK33" s="584" t="s">
        <v>3199</v>
      </c>
      <c r="AL33" s="225" t="str">
        <f ca="1" t="shared" si="4"/>
        <v>9 Tahun 1 Bulan </v>
      </c>
      <c r="AM33" s="130" t="s">
        <v>92</v>
      </c>
      <c r="AN33" s="129" t="s">
        <v>2922</v>
      </c>
      <c r="AO33" s="65" t="s">
        <v>3200</v>
      </c>
      <c r="AP33" s="130" t="s">
        <v>95</v>
      </c>
      <c r="AQ33" s="130" t="s">
        <v>3201</v>
      </c>
      <c r="AR33" s="583" t="s">
        <v>156</v>
      </c>
      <c r="AS33" s="130" t="s">
        <v>188</v>
      </c>
      <c r="AT33" s="130"/>
      <c r="AU33" s="130" t="s">
        <v>883</v>
      </c>
      <c r="AV33" s="583" t="s">
        <v>156</v>
      </c>
      <c r="AW33" s="129" t="s">
        <v>100</v>
      </c>
      <c r="AX33" s="65" t="s">
        <v>101</v>
      </c>
      <c r="AY33" s="130" t="s">
        <v>3202</v>
      </c>
      <c r="AZ33" s="64"/>
      <c r="BA33" s="64"/>
      <c r="BB33" s="272" t="s">
        <v>346</v>
      </c>
      <c r="BC33" s="64" t="s">
        <v>313</v>
      </c>
      <c r="BD33" s="64"/>
      <c r="BE33" s="64">
        <v>24</v>
      </c>
      <c r="BF33" s="64">
        <f>BE33</f>
        <v>24</v>
      </c>
      <c r="BG33" s="39" t="s">
        <v>2536</v>
      </c>
      <c r="BH33" s="129" t="s">
        <v>526</v>
      </c>
      <c r="BI33" s="129" t="s">
        <v>131</v>
      </c>
      <c r="BJ33" s="65" t="s">
        <v>3192</v>
      </c>
      <c r="BK33" s="130">
        <v>1122050617</v>
      </c>
      <c r="BL33" s="287"/>
      <c r="BM33" s="287"/>
      <c r="BN33" s="287"/>
      <c r="BO33" s="287"/>
      <c r="BP33" s="287"/>
      <c r="BQ33" s="287"/>
      <c r="BR33" s="287"/>
      <c r="BS33" s="287"/>
      <c r="BT33" s="287"/>
      <c r="BU33" s="287"/>
      <c r="BV33" s="287"/>
      <c r="BW33" s="287"/>
      <c r="BX33" s="287"/>
      <c r="BY33" s="287"/>
      <c r="BZ33" s="287"/>
      <c r="CA33" s="287"/>
      <c r="CB33" s="287"/>
      <c r="CC33" s="287"/>
      <c r="CD33" s="287"/>
      <c r="CE33" s="287"/>
      <c r="CF33" s="287"/>
      <c r="CG33" s="287"/>
      <c r="CH33" s="287"/>
      <c r="CI33" s="287"/>
      <c r="CJ33" s="287"/>
      <c r="CK33" s="287"/>
      <c r="CL33" s="287"/>
      <c r="CM33" s="287"/>
      <c r="CN33" s="287"/>
      <c r="CO33" s="287"/>
      <c r="CP33" s="287"/>
      <c r="CQ33" s="287"/>
      <c r="CR33" s="287"/>
      <c r="CS33" s="287"/>
      <c r="CT33" s="287"/>
      <c r="CU33" s="287"/>
      <c r="CV33" s="287"/>
      <c r="CW33" s="287"/>
      <c r="CX33" s="287"/>
      <c r="CY33" s="287"/>
      <c r="CZ33" s="287"/>
      <c r="DA33" s="287"/>
      <c r="DB33" s="287"/>
      <c r="DC33" s="287"/>
      <c r="DD33" s="287"/>
      <c r="DE33" s="287"/>
      <c r="DF33" s="287"/>
      <c r="DG33" s="287"/>
      <c r="DH33" s="287"/>
      <c r="DI33" s="287"/>
      <c r="DJ33" s="287"/>
      <c r="DK33" s="287"/>
      <c r="DL33" s="287"/>
      <c r="DM33" s="287"/>
      <c r="DN33" s="287"/>
      <c r="DO33" s="287"/>
      <c r="DP33" s="287"/>
      <c r="DQ33" s="287"/>
      <c r="DR33" s="287"/>
      <c r="DS33" s="287"/>
      <c r="DT33" s="287"/>
      <c r="DU33" s="287"/>
      <c r="DV33" s="287"/>
      <c r="DW33" s="287"/>
      <c r="DX33" s="287"/>
      <c r="DY33" s="287"/>
      <c r="DZ33" s="287"/>
      <c r="EA33" s="287"/>
      <c r="EB33" s="287"/>
      <c r="EC33" s="287"/>
      <c r="ED33" s="287"/>
      <c r="EE33" s="287"/>
      <c r="EF33" s="287"/>
      <c r="EG33" s="287"/>
      <c r="EH33" s="287"/>
      <c r="EI33" s="287"/>
      <c r="EJ33" s="287"/>
      <c r="EK33" s="287"/>
      <c r="EL33" s="287"/>
      <c r="EM33" s="287"/>
      <c r="EN33" s="287"/>
      <c r="EO33" s="287"/>
      <c r="EP33" s="287"/>
      <c r="EQ33" s="287"/>
      <c r="ER33" s="287"/>
      <c r="ES33" s="287"/>
      <c r="ET33" s="287"/>
      <c r="EU33" s="287"/>
      <c r="EV33" s="287"/>
      <c r="EW33" s="287"/>
      <c r="EX33" s="287"/>
      <c r="EY33" s="287"/>
      <c r="EZ33" s="287"/>
      <c r="FA33" s="287"/>
      <c r="FB33" s="287"/>
      <c r="FC33" s="287"/>
      <c r="FD33" s="287"/>
      <c r="FE33" s="287"/>
      <c r="FF33" s="287"/>
      <c r="FG33" s="287"/>
      <c r="FH33" s="287"/>
      <c r="FI33" s="287"/>
      <c r="FJ33" s="287"/>
      <c r="FK33" s="287"/>
      <c r="FL33" s="287"/>
      <c r="FM33" s="287"/>
      <c r="FN33" s="287"/>
      <c r="FO33" s="287"/>
      <c r="FP33" s="287"/>
      <c r="FQ33" s="287"/>
      <c r="FR33" s="287"/>
      <c r="FS33" s="287"/>
      <c r="FT33" s="287"/>
      <c r="FU33" s="287"/>
      <c r="FV33" s="287"/>
      <c r="FW33" s="287"/>
      <c r="FX33" s="287"/>
      <c r="FY33" s="287"/>
      <c r="FZ33" s="287"/>
      <c r="GA33" s="287"/>
      <c r="GB33" s="287"/>
      <c r="GC33" s="287"/>
      <c r="GD33" s="287"/>
      <c r="GE33" s="287"/>
      <c r="GF33" s="287"/>
      <c r="GG33" s="287"/>
      <c r="GH33" s="287"/>
      <c r="GI33" s="287"/>
      <c r="GJ33" s="287"/>
      <c r="GK33" s="287"/>
      <c r="GL33" s="287"/>
      <c r="GM33" s="287"/>
      <c r="GN33" s="287"/>
      <c r="GO33" s="287"/>
      <c r="GP33" s="287"/>
      <c r="GQ33" s="287"/>
      <c r="GR33" s="287"/>
      <c r="GS33" s="287"/>
      <c r="GT33" s="287"/>
      <c r="GU33" s="287"/>
      <c r="GV33" s="287"/>
      <c r="GW33" s="287"/>
      <c r="GX33" s="287"/>
      <c r="GY33" s="287"/>
      <c r="GZ33" s="287"/>
      <c r="HA33" s="287"/>
      <c r="HB33" s="287"/>
      <c r="HC33" s="287"/>
      <c r="HD33" s="287"/>
      <c r="HE33" s="287"/>
      <c r="HF33" s="287"/>
      <c r="HG33" s="287"/>
      <c r="HH33" s="287"/>
      <c r="HI33" s="287"/>
      <c r="HJ33" s="287"/>
      <c r="HK33" s="287"/>
      <c r="HL33" s="287"/>
      <c r="HM33" s="287"/>
      <c r="HN33" s="287"/>
      <c r="HO33" s="287"/>
      <c r="HP33" s="287"/>
      <c r="HQ33" s="287"/>
      <c r="HR33" s="287"/>
      <c r="HS33" s="287"/>
      <c r="HT33" s="287"/>
      <c r="HU33" s="287"/>
      <c r="HV33" s="287"/>
      <c r="HW33" s="287"/>
      <c r="HX33" s="287"/>
      <c r="HY33" s="287"/>
      <c r="HZ33" s="287"/>
      <c r="IA33" s="287"/>
      <c r="IB33" s="287"/>
      <c r="IC33" s="287"/>
      <c r="ID33" s="287"/>
      <c r="IE33" s="287"/>
      <c r="IF33" s="287"/>
      <c r="IG33" s="287"/>
      <c r="IH33" s="287"/>
      <c r="II33" s="287"/>
      <c r="IJ33" s="287"/>
      <c r="IK33" s="287"/>
      <c r="IL33" s="287"/>
      <c r="IM33" s="287"/>
      <c r="IN33" s="287"/>
      <c r="IO33" s="287"/>
      <c r="IP33" s="287"/>
      <c r="IQ33" s="287"/>
      <c r="IR33" s="287"/>
      <c r="IS33" s="287"/>
      <c r="IT33" s="287"/>
    </row>
    <row r="34" s="40" customFormat="1" ht="20.25" customHeight="1" spans="1:254">
      <c r="A34" s="10">
        <v>29</v>
      </c>
      <c r="B34" s="63"/>
      <c r="C34" s="63" t="s">
        <v>658</v>
      </c>
      <c r="D34" s="63" t="s">
        <v>76</v>
      </c>
      <c r="E34" s="63" t="s">
        <v>870</v>
      </c>
      <c r="F34" s="64"/>
      <c r="G34" s="67" t="s">
        <v>3203</v>
      </c>
      <c r="H34" s="66" t="s">
        <v>177</v>
      </c>
      <c r="I34" s="113" t="str">
        <f t="shared" si="0"/>
        <v>Marlina Wati, S.Pd</v>
      </c>
      <c r="J34" s="129" t="s">
        <v>80</v>
      </c>
      <c r="K34" s="102" t="str">
        <f t="shared" si="10"/>
        <v>Perempuan</v>
      </c>
      <c r="L34" s="130" t="s">
        <v>3204</v>
      </c>
      <c r="M34" s="131">
        <v>33491</v>
      </c>
      <c r="N34" s="132" t="str">
        <f ca="1" t="shared" si="11"/>
        <v>34 Tahun 1 Bulan </v>
      </c>
      <c r="O34" s="133" t="str">
        <f t="shared" si="12"/>
        <v>10 September 1991</v>
      </c>
      <c r="P34" s="63">
        <f ca="1" t="shared" si="13"/>
        <v>34</v>
      </c>
      <c r="Q34" s="63" t="str">
        <f ca="1" t="shared" si="3"/>
        <v>OKE</v>
      </c>
      <c r="R34" s="657" t="s">
        <v>3205</v>
      </c>
      <c r="S34" s="64"/>
      <c r="T34" s="583" t="s">
        <v>156</v>
      </c>
      <c r="U34" s="130" t="s">
        <v>83</v>
      </c>
      <c r="V34" s="129" t="s">
        <v>2917</v>
      </c>
      <c r="W34" s="63" t="s">
        <v>2634</v>
      </c>
      <c r="X34" s="64" t="s">
        <v>3206</v>
      </c>
      <c r="Y34" s="63">
        <v>1</v>
      </c>
      <c r="Z34" s="63"/>
      <c r="AA34" s="64"/>
      <c r="AB34" s="64" t="s">
        <v>3204</v>
      </c>
      <c r="AC34" s="63">
        <v>77371</v>
      </c>
      <c r="AD34" s="64" t="s">
        <v>450</v>
      </c>
      <c r="AE34" s="64"/>
      <c r="AF34" s="658" t="s">
        <v>3207</v>
      </c>
      <c r="AG34" s="226" t="s">
        <v>3208</v>
      </c>
      <c r="AH34" s="64"/>
      <c r="AI34" s="64"/>
      <c r="AJ34" s="64" t="s">
        <v>3209</v>
      </c>
      <c r="AK34" s="659" t="s">
        <v>3210</v>
      </c>
      <c r="AL34" s="225" t="str">
        <f ca="1" t="shared" si="4"/>
        <v>8 Tahun 4 Bulan </v>
      </c>
      <c r="AM34" s="64" t="s">
        <v>92</v>
      </c>
      <c r="AN34" s="129" t="s">
        <v>2922</v>
      </c>
      <c r="AO34" s="64" t="s">
        <v>3211</v>
      </c>
      <c r="AP34" s="64" t="s">
        <v>297</v>
      </c>
      <c r="AQ34" s="658" t="s">
        <v>156</v>
      </c>
      <c r="AR34" s="658" t="s">
        <v>156</v>
      </c>
      <c r="AS34" s="658" t="s">
        <v>156</v>
      </c>
      <c r="AT34" s="64"/>
      <c r="AU34" s="64" t="s">
        <v>883</v>
      </c>
      <c r="AV34" s="658" t="s">
        <v>156</v>
      </c>
      <c r="AW34" s="63" t="s">
        <v>100</v>
      </c>
      <c r="AX34" s="64" t="s">
        <v>885</v>
      </c>
      <c r="AY34" s="64" t="s">
        <v>1007</v>
      </c>
      <c r="AZ34" s="64"/>
      <c r="BA34" s="64"/>
      <c r="BB34" s="272" t="s">
        <v>346</v>
      </c>
      <c r="BC34" s="64" t="s">
        <v>3212</v>
      </c>
      <c r="BD34" s="64"/>
      <c r="BE34" s="64">
        <v>29</v>
      </c>
      <c r="BF34" s="64">
        <f t="shared" ref="BF34:BF39" si="14">BE34</f>
        <v>29</v>
      </c>
      <c r="BG34" s="39" t="s">
        <v>1007</v>
      </c>
      <c r="BH34" s="129" t="s">
        <v>526</v>
      </c>
      <c r="BI34" s="63" t="s">
        <v>3213</v>
      </c>
      <c r="BJ34" s="67" t="s">
        <v>3203</v>
      </c>
      <c r="BK34" s="196">
        <v>1552234371</v>
      </c>
      <c r="BL34" s="287"/>
      <c r="BM34" s="287"/>
      <c r="BN34" s="287"/>
      <c r="BO34" s="287"/>
      <c r="BP34" s="287"/>
      <c r="BQ34" s="287"/>
      <c r="BR34" s="287"/>
      <c r="BS34" s="287"/>
      <c r="BT34" s="287"/>
      <c r="BU34" s="287"/>
      <c r="BV34" s="287"/>
      <c r="BW34" s="287"/>
      <c r="BX34" s="287"/>
      <c r="BY34" s="287"/>
      <c r="BZ34" s="287"/>
      <c r="CA34" s="287"/>
      <c r="CB34" s="287"/>
      <c r="CC34" s="287"/>
      <c r="CD34" s="287"/>
      <c r="CE34" s="287"/>
      <c r="CF34" s="287"/>
      <c r="CG34" s="287"/>
      <c r="CH34" s="287"/>
      <c r="CI34" s="287"/>
      <c r="CJ34" s="287"/>
      <c r="CK34" s="287"/>
      <c r="CL34" s="287"/>
      <c r="CM34" s="287"/>
      <c r="CN34" s="287"/>
      <c r="CO34" s="287"/>
      <c r="CP34" s="287"/>
      <c r="CQ34" s="287"/>
      <c r="CR34" s="287"/>
      <c r="CS34" s="287"/>
      <c r="CT34" s="287"/>
      <c r="CU34" s="287"/>
      <c r="CV34" s="287"/>
      <c r="CW34" s="287"/>
      <c r="CX34" s="287"/>
      <c r="CY34" s="287"/>
      <c r="CZ34" s="287"/>
      <c r="DA34" s="287"/>
      <c r="DB34" s="287"/>
      <c r="DC34" s="287"/>
      <c r="DD34" s="287"/>
      <c r="DE34" s="287"/>
      <c r="DF34" s="287"/>
      <c r="DG34" s="287"/>
      <c r="DH34" s="287"/>
      <c r="DI34" s="287"/>
      <c r="DJ34" s="287"/>
      <c r="DK34" s="287"/>
      <c r="DL34" s="287"/>
      <c r="DM34" s="287"/>
      <c r="DN34" s="287"/>
      <c r="DO34" s="287"/>
      <c r="DP34" s="287"/>
      <c r="DQ34" s="287"/>
      <c r="DR34" s="287"/>
      <c r="DS34" s="287"/>
      <c r="DT34" s="287"/>
      <c r="DU34" s="287"/>
      <c r="DV34" s="287"/>
      <c r="DW34" s="287"/>
      <c r="DX34" s="287"/>
      <c r="DY34" s="287"/>
      <c r="DZ34" s="287"/>
      <c r="EA34" s="287"/>
      <c r="EB34" s="287"/>
      <c r="EC34" s="287"/>
      <c r="ED34" s="287"/>
      <c r="EE34" s="287"/>
      <c r="EF34" s="287"/>
      <c r="EG34" s="287"/>
      <c r="EH34" s="287"/>
      <c r="EI34" s="287"/>
      <c r="EJ34" s="287"/>
      <c r="EK34" s="287"/>
      <c r="EL34" s="287"/>
      <c r="EM34" s="287"/>
      <c r="EN34" s="287"/>
      <c r="EO34" s="287"/>
      <c r="EP34" s="287"/>
      <c r="EQ34" s="287"/>
      <c r="ER34" s="287"/>
      <c r="ES34" s="287"/>
      <c r="ET34" s="287"/>
      <c r="EU34" s="287"/>
      <c r="EV34" s="287"/>
      <c r="EW34" s="287"/>
      <c r="EX34" s="287"/>
      <c r="EY34" s="287"/>
      <c r="EZ34" s="287"/>
      <c r="FA34" s="287"/>
      <c r="FB34" s="287"/>
      <c r="FC34" s="287"/>
      <c r="FD34" s="287"/>
      <c r="FE34" s="287"/>
      <c r="FF34" s="287"/>
      <c r="FG34" s="287"/>
      <c r="FH34" s="287"/>
      <c r="FI34" s="287"/>
      <c r="FJ34" s="287"/>
      <c r="FK34" s="287"/>
      <c r="FL34" s="287"/>
      <c r="FM34" s="287"/>
      <c r="FN34" s="287"/>
      <c r="FO34" s="287"/>
      <c r="FP34" s="287"/>
      <c r="FQ34" s="287"/>
      <c r="FR34" s="287"/>
      <c r="FS34" s="287"/>
      <c r="FT34" s="287"/>
      <c r="FU34" s="287"/>
      <c r="FV34" s="287"/>
      <c r="FW34" s="287"/>
      <c r="FX34" s="287"/>
      <c r="FY34" s="287"/>
      <c r="FZ34" s="287"/>
      <c r="GA34" s="287"/>
      <c r="GB34" s="287"/>
      <c r="GC34" s="287"/>
      <c r="GD34" s="287"/>
      <c r="GE34" s="287"/>
      <c r="GF34" s="287"/>
      <c r="GG34" s="287"/>
      <c r="GH34" s="287"/>
      <c r="GI34" s="287"/>
      <c r="GJ34" s="287"/>
      <c r="GK34" s="287"/>
      <c r="GL34" s="287"/>
      <c r="GM34" s="287"/>
      <c r="GN34" s="287"/>
      <c r="GO34" s="287"/>
      <c r="GP34" s="287"/>
      <c r="GQ34" s="287"/>
      <c r="GR34" s="287"/>
      <c r="GS34" s="287"/>
      <c r="GT34" s="287"/>
      <c r="GU34" s="287"/>
      <c r="GV34" s="287"/>
      <c r="GW34" s="287"/>
      <c r="GX34" s="287"/>
      <c r="GY34" s="287"/>
      <c r="GZ34" s="287"/>
      <c r="HA34" s="287"/>
      <c r="HB34" s="287"/>
      <c r="HC34" s="287"/>
      <c r="HD34" s="287"/>
      <c r="HE34" s="287"/>
      <c r="HF34" s="287"/>
      <c r="HG34" s="287"/>
      <c r="HH34" s="287"/>
      <c r="HI34" s="287"/>
      <c r="HJ34" s="287"/>
      <c r="HK34" s="287"/>
      <c r="HL34" s="287"/>
      <c r="HM34" s="287"/>
      <c r="HN34" s="287"/>
      <c r="HO34" s="287"/>
      <c r="HP34" s="287"/>
      <c r="HQ34" s="287"/>
      <c r="HR34" s="287"/>
      <c r="HS34" s="287"/>
      <c r="HT34" s="287"/>
      <c r="HU34" s="287"/>
      <c r="HV34" s="287"/>
      <c r="HW34" s="287"/>
      <c r="HX34" s="287"/>
      <c r="HY34" s="287"/>
      <c r="HZ34" s="287"/>
      <c r="IA34" s="287"/>
      <c r="IB34" s="287"/>
      <c r="IC34" s="287"/>
      <c r="ID34" s="287"/>
      <c r="IE34" s="287"/>
      <c r="IF34" s="287"/>
      <c r="IG34" s="287"/>
      <c r="IH34" s="287"/>
      <c r="II34" s="287"/>
      <c r="IJ34" s="287"/>
      <c r="IK34" s="287"/>
      <c r="IL34" s="287"/>
      <c r="IM34" s="287"/>
      <c r="IN34" s="287"/>
      <c r="IO34" s="287"/>
      <c r="IP34" s="287"/>
      <c r="IQ34" s="287"/>
      <c r="IR34" s="287"/>
      <c r="IS34" s="287"/>
      <c r="IT34" s="287"/>
    </row>
    <row r="35" s="40" customFormat="1" ht="20.25" customHeight="1" spans="1:254">
      <c r="A35" s="47">
        <v>30</v>
      </c>
      <c r="B35" s="63"/>
      <c r="C35" s="63" t="s">
        <v>658</v>
      </c>
      <c r="D35" s="63" t="s">
        <v>76</v>
      </c>
      <c r="E35" s="63" t="s">
        <v>870</v>
      </c>
      <c r="F35" s="64"/>
      <c r="G35" s="67" t="s">
        <v>3214</v>
      </c>
      <c r="H35" s="66" t="s">
        <v>177</v>
      </c>
      <c r="I35" s="113" t="str">
        <f t="shared" si="0"/>
        <v>Daria Oktavia Elda, S.Pd</v>
      </c>
      <c r="J35" s="129" t="s">
        <v>80</v>
      </c>
      <c r="K35" s="102" t="str">
        <f t="shared" si="10"/>
        <v>Perempuan</v>
      </c>
      <c r="L35" s="130" t="s">
        <v>3215</v>
      </c>
      <c r="M35" s="131">
        <v>33902</v>
      </c>
      <c r="N35" s="132" t="str">
        <f ca="1" t="shared" si="11"/>
        <v>33 Tahun 0 Bulan </v>
      </c>
      <c r="O35" s="133" t="str">
        <f t="shared" si="12"/>
        <v>25 October 1992</v>
      </c>
      <c r="P35" s="63">
        <f ca="1" t="shared" si="13"/>
        <v>33</v>
      </c>
      <c r="Q35" s="63" t="str">
        <f ca="1" t="shared" si="3"/>
        <v>OKE</v>
      </c>
      <c r="R35" s="657" t="s">
        <v>3216</v>
      </c>
      <c r="S35" s="64"/>
      <c r="T35" s="583" t="s">
        <v>156</v>
      </c>
      <c r="U35" s="130" t="s">
        <v>83</v>
      </c>
      <c r="V35" s="129" t="s">
        <v>2917</v>
      </c>
      <c r="W35" s="63" t="s">
        <v>2481</v>
      </c>
      <c r="X35" s="64" t="s">
        <v>2407</v>
      </c>
      <c r="Y35" s="63">
        <v>6</v>
      </c>
      <c r="Z35" s="63"/>
      <c r="AA35" s="64"/>
      <c r="AB35" s="64" t="s">
        <v>997</v>
      </c>
      <c r="AC35" s="63">
        <v>77361</v>
      </c>
      <c r="AD35" s="64" t="s">
        <v>998</v>
      </c>
      <c r="AE35" s="64"/>
      <c r="AF35" s="658" t="s">
        <v>3217</v>
      </c>
      <c r="AG35" s="227" t="s">
        <v>3218</v>
      </c>
      <c r="AH35" s="64"/>
      <c r="AI35" s="64"/>
      <c r="AJ35" s="64" t="s">
        <v>3219</v>
      </c>
      <c r="AK35" s="659" t="s">
        <v>3210</v>
      </c>
      <c r="AL35" s="225" t="str">
        <f ca="1" t="shared" si="4"/>
        <v>8 Tahun 4 Bulan </v>
      </c>
      <c r="AM35" s="64" t="s">
        <v>92</v>
      </c>
      <c r="AN35" s="129" t="s">
        <v>2922</v>
      </c>
      <c r="AO35" s="64" t="s">
        <v>3220</v>
      </c>
      <c r="AP35" s="64" t="s">
        <v>95</v>
      </c>
      <c r="AQ35" s="64" t="s">
        <v>3221</v>
      </c>
      <c r="AR35" s="658" t="s">
        <v>156</v>
      </c>
      <c r="AS35" s="64" t="s">
        <v>986</v>
      </c>
      <c r="AT35" s="64"/>
      <c r="AU35" s="64" t="s">
        <v>883</v>
      </c>
      <c r="AV35" s="658" t="s">
        <v>156</v>
      </c>
      <c r="AW35" s="63" t="s">
        <v>100</v>
      </c>
      <c r="AX35" s="64" t="s">
        <v>885</v>
      </c>
      <c r="AY35" s="64" t="s">
        <v>2648</v>
      </c>
      <c r="AZ35" s="64"/>
      <c r="BA35" s="64"/>
      <c r="BB35" s="272" t="s">
        <v>346</v>
      </c>
      <c r="BC35" s="64" t="s">
        <v>3222</v>
      </c>
      <c r="BD35" s="64"/>
      <c r="BE35" s="64">
        <v>24</v>
      </c>
      <c r="BF35" s="64">
        <f t="shared" si="14"/>
        <v>24</v>
      </c>
      <c r="BG35" s="39" t="s">
        <v>2648</v>
      </c>
      <c r="BH35" s="129" t="s">
        <v>526</v>
      </c>
      <c r="BI35" s="63" t="s">
        <v>3213</v>
      </c>
      <c r="BJ35" s="67" t="s">
        <v>3214</v>
      </c>
      <c r="BK35" s="196">
        <v>1552234118</v>
      </c>
      <c r="BL35" s="287"/>
      <c r="BM35" s="287"/>
      <c r="BN35" s="287"/>
      <c r="BO35" s="287"/>
      <c r="BP35" s="287"/>
      <c r="BQ35" s="287"/>
      <c r="BR35" s="287"/>
      <c r="BS35" s="287"/>
      <c r="BT35" s="287"/>
      <c r="BU35" s="287"/>
      <c r="BV35" s="287"/>
      <c r="BW35" s="287"/>
      <c r="BX35" s="287"/>
      <c r="BY35" s="287"/>
      <c r="BZ35" s="287"/>
      <c r="CA35" s="287"/>
      <c r="CB35" s="287"/>
      <c r="CC35" s="287"/>
      <c r="CD35" s="287"/>
      <c r="CE35" s="287"/>
      <c r="CF35" s="287"/>
      <c r="CG35" s="287"/>
      <c r="CH35" s="287"/>
      <c r="CI35" s="287"/>
      <c r="CJ35" s="287"/>
      <c r="CK35" s="287"/>
      <c r="CL35" s="287"/>
      <c r="CM35" s="287"/>
      <c r="CN35" s="287"/>
      <c r="CO35" s="287"/>
      <c r="CP35" s="287"/>
      <c r="CQ35" s="287"/>
      <c r="CR35" s="287"/>
      <c r="CS35" s="287"/>
      <c r="CT35" s="287"/>
      <c r="CU35" s="287"/>
      <c r="CV35" s="287"/>
      <c r="CW35" s="287"/>
      <c r="CX35" s="287"/>
      <c r="CY35" s="287"/>
      <c r="CZ35" s="287"/>
      <c r="DA35" s="287"/>
      <c r="DB35" s="287"/>
      <c r="DC35" s="287"/>
      <c r="DD35" s="287"/>
      <c r="DE35" s="287"/>
      <c r="DF35" s="287"/>
      <c r="DG35" s="287"/>
      <c r="DH35" s="287"/>
      <c r="DI35" s="287"/>
      <c r="DJ35" s="287"/>
      <c r="DK35" s="287"/>
      <c r="DL35" s="287"/>
      <c r="DM35" s="287"/>
      <c r="DN35" s="287"/>
      <c r="DO35" s="287"/>
      <c r="DP35" s="287"/>
      <c r="DQ35" s="287"/>
      <c r="DR35" s="287"/>
      <c r="DS35" s="287"/>
      <c r="DT35" s="287"/>
      <c r="DU35" s="287"/>
      <c r="DV35" s="287"/>
      <c r="DW35" s="287"/>
      <c r="DX35" s="287"/>
      <c r="DY35" s="287"/>
      <c r="DZ35" s="287"/>
      <c r="EA35" s="287"/>
      <c r="EB35" s="287"/>
      <c r="EC35" s="287"/>
      <c r="ED35" s="287"/>
      <c r="EE35" s="287"/>
      <c r="EF35" s="287"/>
      <c r="EG35" s="287"/>
      <c r="EH35" s="287"/>
      <c r="EI35" s="287"/>
      <c r="EJ35" s="287"/>
      <c r="EK35" s="287"/>
      <c r="EL35" s="287"/>
      <c r="EM35" s="287"/>
      <c r="EN35" s="287"/>
      <c r="EO35" s="287"/>
      <c r="EP35" s="287"/>
      <c r="EQ35" s="287"/>
      <c r="ER35" s="287"/>
      <c r="ES35" s="287"/>
      <c r="ET35" s="287"/>
      <c r="EU35" s="287"/>
      <c r="EV35" s="287"/>
      <c r="EW35" s="287"/>
      <c r="EX35" s="287"/>
      <c r="EY35" s="287"/>
      <c r="EZ35" s="287"/>
      <c r="FA35" s="287"/>
      <c r="FB35" s="287"/>
      <c r="FC35" s="287"/>
      <c r="FD35" s="287"/>
      <c r="FE35" s="287"/>
      <c r="FF35" s="287"/>
      <c r="FG35" s="287"/>
      <c r="FH35" s="287"/>
      <c r="FI35" s="287"/>
      <c r="FJ35" s="287"/>
      <c r="FK35" s="287"/>
      <c r="FL35" s="287"/>
      <c r="FM35" s="287"/>
      <c r="FN35" s="287"/>
      <c r="FO35" s="287"/>
      <c r="FP35" s="287"/>
      <c r="FQ35" s="287"/>
      <c r="FR35" s="287"/>
      <c r="FS35" s="287"/>
      <c r="FT35" s="287"/>
      <c r="FU35" s="287"/>
      <c r="FV35" s="287"/>
      <c r="FW35" s="287"/>
      <c r="FX35" s="287"/>
      <c r="FY35" s="287"/>
      <c r="FZ35" s="287"/>
      <c r="GA35" s="287"/>
      <c r="GB35" s="287"/>
      <c r="GC35" s="287"/>
      <c r="GD35" s="287"/>
      <c r="GE35" s="287"/>
      <c r="GF35" s="287"/>
      <c r="GG35" s="287"/>
      <c r="GH35" s="287"/>
      <c r="GI35" s="287"/>
      <c r="GJ35" s="287"/>
      <c r="GK35" s="287"/>
      <c r="GL35" s="287"/>
      <c r="GM35" s="287"/>
      <c r="GN35" s="287"/>
      <c r="GO35" s="287"/>
      <c r="GP35" s="287"/>
      <c r="GQ35" s="287"/>
      <c r="GR35" s="287"/>
      <c r="GS35" s="287"/>
      <c r="GT35" s="287"/>
      <c r="GU35" s="287"/>
      <c r="GV35" s="287"/>
      <c r="GW35" s="287"/>
      <c r="GX35" s="287"/>
      <c r="GY35" s="287"/>
      <c r="GZ35" s="287"/>
      <c r="HA35" s="287"/>
      <c r="HB35" s="287"/>
      <c r="HC35" s="287"/>
      <c r="HD35" s="287"/>
      <c r="HE35" s="287"/>
      <c r="HF35" s="287"/>
      <c r="HG35" s="287"/>
      <c r="HH35" s="287"/>
      <c r="HI35" s="287"/>
      <c r="HJ35" s="287"/>
      <c r="HK35" s="287"/>
      <c r="HL35" s="287"/>
      <c r="HM35" s="287"/>
      <c r="HN35" s="287"/>
      <c r="HO35" s="287"/>
      <c r="HP35" s="287"/>
      <c r="HQ35" s="287"/>
      <c r="HR35" s="287"/>
      <c r="HS35" s="287"/>
      <c r="HT35" s="287"/>
      <c r="HU35" s="287"/>
      <c r="HV35" s="287"/>
      <c r="HW35" s="287"/>
      <c r="HX35" s="287"/>
      <c r="HY35" s="287"/>
      <c r="HZ35" s="287"/>
      <c r="IA35" s="287"/>
      <c r="IB35" s="287"/>
      <c r="IC35" s="287"/>
      <c r="ID35" s="287"/>
      <c r="IE35" s="287"/>
      <c r="IF35" s="287"/>
      <c r="IG35" s="287"/>
      <c r="IH35" s="287"/>
      <c r="II35" s="287"/>
      <c r="IJ35" s="287"/>
      <c r="IK35" s="287"/>
      <c r="IL35" s="287"/>
      <c r="IM35" s="287"/>
      <c r="IN35" s="287"/>
      <c r="IO35" s="287"/>
      <c r="IP35" s="287"/>
      <c r="IQ35" s="287"/>
      <c r="IR35" s="287"/>
      <c r="IS35" s="287"/>
      <c r="IT35" s="287"/>
    </row>
    <row r="36" s="40" customFormat="1" ht="20.25" customHeight="1" spans="1:254">
      <c r="A36" s="10">
        <v>31</v>
      </c>
      <c r="B36" s="63"/>
      <c r="C36" s="63" t="s">
        <v>658</v>
      </c>
      <c r="D36" s="63" t="s">
        <v>76</v>
      </c>
      <c r="E36" s="63" t="s">
        <v>870</v>
      </c>
      <c r="F36" s="64"/>
      <c r="G36" s="68" t="s">
        <v>3223</v>
      </c>
      <c r="H36" s="66" t="s">
        <v>177</v>
      </c>
      <c r="I36" s="113" t="str">
        <f t="shared" si="0"/>
        <v>Triningsih, S.Pd</v>
      </c>
      <c r="J36" s="129" t="s">
        <v>80</v>
      </c>
      <c r="K36" s="102" t="str">
        <f t="shared" si="10"/>
        <v>Perempuan</v>
      </c>
      <c r="L36" s="68" t="s">
        <v>75</v>
      </c>
      <c r="M36" s="131">
        <v>34965</v>
      </c>
      <c r="N36" s="132" t="str">
        <f ca="1" t="shared" si="11"/>
        <v>30 Tahun 1 Bulan </v>
      </c>
      <c r="O36" s="133" t="str">
        <f t="shared" si="12"/>
        <v>23 September 1995</v>
      </c>
      <c r="P36" s="63">
        <f ca="1" t="shared" si="13"/>
        <v>30</v>
      </c>
      <c r="Q36" s="63" t="str">
        <f ca="1" t="shared" si="3"/>
        <v>OKE</v>
      </c>
      <c r="R36" s="657" t="s">
        <v>3224</v>
      </c>
      <c r="S36" s="64"/>
      <c r="T36" s="583" t="s">
        <v>156</v>
      </c>
      <c r="U36" s="130" t="s">
        <v>83</v>
      </c>
      <c r="V36" s="129" t="s">
        <v>2917</v>
      </c>
      <c r="W36" s="63" t="s">
        <v>112</v>
      </c>
      <c r="X36" s="64" t="s">
        <v>3225</v>
      </c>
      <c r="Y36" s="63">
        <v>6</v>
      </c>
      <c r="Z36" s="64"/>
      <c r="AA36" s="64"/>
      <c r="AB36" s="130" t="s">
        <v>893</v>
      </c>
      <c r="AC36" s="63">
        <v>77353</v>
      </c>
      <c r="AD36" s="130" t="s">
        <v>131</v>
      </c>
      <c r="AE36" s="64"/>
      <c r="AF36" s="660" t="s">
        <v>3226</v>
      </c>
      <c r="AG36" s="228" t="s">
        <v>3227</v>
      </c>
      <c r="AH36" s="64"/>
      <c r="AI36" s="64"/>
      <c r="AJ36" s="64" t="s">
        <v>3228</v>
      </c>
      <c r="AK36" s="659" t="s">
        <v>2941</v>
      </c>
      <c r="AL36" s="225" t="str">
        <f ca="1" t="shared" si="4"/>
        <v>7 Tahun 10 Bulan </v>
      </c>
      <c r="AM36" s="64" t="s">
        <v>92</v>
      </c>
      <c r="AN36" s="129" t="s">
        <v>2922</v>
      </c>
      <c r="AO36" s="68" t="s">
        <v>3229</v>
      </c>
      <c r="AP36" s="64" t="s">
        <v>297</v>
      </c>
      <c r="AQ36" s="659" t="s">
        <v>156</v>
      </c>
      <c r="AR36" s="658" t="s">
        <v>156</v>
      </c>
      <c r="AS36" s="659" t="s">
        <v>156</v>
      </c>
      <c r="AT36" s="64"/>
      <c r="AU36" s="64" t="s">
        <v>883</v>
      </c>
      <c r="AV36" s="658" t="s">
        <v>156</v>
      </c>
      <c r="AW36" s="63" t="s">
        <v>100</v>
      </c>
      <c r="AX36" s="130" t="s">
        <v>885</v>
      </c>
      <c r="AY36" s="130" t="s">
        <v>3230</v>
      </c>
      <c r="AZ36" s="64"/>
      <c r="BA36" s="64"/>
      <c r="BB36" s="272" t="s">
        <v>346</v>
      </c>
      <c r="BC36" s="64" t="s">
        <v>374</v>
      </c>
      <c r="BD36" s="64"/>
      <c r="BE36" s="64">
        <v>27</v>
      </c>
      <c r="BF36" s="64">
        <f t="shared" si="14"/>
        <v>27</v>
      </c>
      <c r="BG36" s="39" t="s">
        <v>1828</v>
      </c>
      <c r="BH36" s="129" t="s">
        <v>526</v>
      </c>
      <c r="BI36" s="63" t="s">
        <v>3231</v>
      </c>
      <c r="BJ36" s="64" t="s">
        <v>3223</v>
      </c>
      <c r="BK36" s="659" t="s">
        <v>3232</v>
      </c>
      <c r="BL36" s="287"/>
      <c r="BM36" s="287"/>
      <c r="BN36" s="287"/>
      <c r="BO36" s="287"/>
      <c r="BP36" s="287"/>
      <c r="BQ36" s="287"/>
      <c r="BR36" s="287"/>
      <c r="BS36" s="287"/>
      <c r="BT36" s="287"/>
      <c r="BU36" s="287"/>
      <c r="BV36" s="287"/>
      <c r="BW36" s="287"/>
      <c r="BX36" s="287"/>
      <c r="BY36" s="287"/>
      <c r="BZ36" s="287"/>
      <c r="CA36" s="287"/>
      <c r="CB36" s="287"/>
      <c r="CC36" s="287"/>
      <c r="CD36" s="287"/>
      <c r="CE36" s="287"/>
      <c r="CF36" s="287"/>
      <c r="CG36" s="287"/>
      <c r="CH36" s="287"/>
      <c r="CI36" s="287"/>
      <c r="CJ36" s="287"/>
      <c r="CK36" s="287"/>
      <c r="CL36" s="287"/>
      <c r="CM36" s="287"/>
      <c r="CN36" s="287"/>
      <c r="CO36" s="287"/>
      <c r="CP36" s="287"/>
      <c r="CQ36" s="287"/>
      <c r="CR36" s="287"/>
      <c r="CS36" s="287"/>
      <c r="CT36" s="287"/>
      <c r="CU36" s="287"/>
      <c r="CV36" s="287"/>
      <c r="CW36" s="287"/>
      <c r="CX36" s="287"/>
      <c r="CY36" s="287"/>
      <c r="CZ36" s="287"/>
      <c r="DA36" s="287"/>
      <c r="DB36" s="287"/>
      <c r="DC36" s="287"/>
      <c r="DD36" s="287"/>
      <c r="DE36" s="287"/>
      <c r="DF36" s="287"/>
      <c r="DG36" s="287"/>
      <c r="DH36" s="287"/>
      <c r="DI36" s="287"/>
      <c r="DJ36" s="287"/>
      <c r="DK36" s="287"/>
      <c r="DL36" s="287"/>
      <c r="DM36" s="287"/>
      <c r="DN36" s="287"/>
      <c r="DO36" s="287"/>
      <c r="DP36" s="287"/>
      <c r="DQ36" s="287"/>
      <c r="DR36" s="287"/>
      <c r="DS36" s="287"/>
      <c r="DT36" s="287"/>
      <c r="DU36" s="287"/>
      <c r="DV36" s="287"/>
      <c r="DW36" s="287"/>
      <c r="DX36" s="287"/>
      <c r="DY36" s="287"/>
      <c r="DZ36" s="287"/>
      <c r="EA36" s="287"/>
      <c r="EB36" s="287"/>
      <c r="EC36" s="287"/>
      <c r="ED36" s="287"/>
      <c r="EE36" s="287"/>
      <c r="EF36" s="287"/>
      <c r="EG36" s="287"/>
      <c r="EH36" s="287"/>
      <c r="EI36" s="287"/>
      <c r="EJ36" s="287"/>
      <c r="EK36" s="287"/>
      <c r="EL36" s="287"/>
      <c r="EM36" s="287"/>
      <c r="EN36" s="287"/>
      <c r="EO36" s="287"/>
      <c r="EP36" s="287"/>
      <c r="EQ36" s="287"/>
      <c r="ER36" s="287"/>
      <c r="ES36" s="287"/>
      <c r="ET36" s="287"/>
      <c r="EU36" s="287"/>
      <c r="EV36" s="287"/>
      <c r="EW36" s="287"/>
      <c r="EX36" s="287"/>
      <c r="EY36" s="287"/>
      <c r="EZ36" s="287"/>
      <c r="FA36" s="287"/>
      <c r="FB36" s="287"/>
      <c r="FC36" s="287"/>
      <c r="FD36" s="287"/>
      <c r="FE36" s="287"/>
      <c r="FF36" s="287"/>
      <c r="FG36" s="287"/>
      <c r="FH36" s="287"/>
      <c r="FI36" s="287"/>
      <c r="FJ36" s="287"/>
      <c r="FK36" s="287"/>
      <c r="FL36" s="287"/>
      <c r="FM36" s="287"/>
      <c r="FN36" s="287"/>
      <c r="FO36" s="287"/>
      <c r="FP36" s="287"/>
      <c r="FQ36" s="287"/>
      <c r="FR36" s="287"/>
      <c r="FS36" s="287"/>
      <c r="FT36" s="287"/>
      <c r="FU36" s="287"/>
      <c r="FV36" s="287"/>
      <c r="FW36" s="287"/>
      <c r="FX36" s="287"/>
      <c r="FY36" s="287"/>
      <c r="FZ36" s="287"/>
      <c r="GA36" s="287"/>
      <c r="GB36" s="287"/>
      <c r="GC36" s="287"/>
      <c r="GD36" s="287"/>
      <c r="GE36" s="287"/>
      <c r="GF36" s="287"/>
      <c r="GG36" s="287"/>
      <c r="GH36" s="287"/>
      <c r="GI36" s="287"/>
      <c r="GJ36" s="287"/>
      <c r="GK36" s="287"/>
      <c r="GL36" s="287"/>
      <c r="GM36" s="287"/>
      <c r="GN36" s="287"/>
      <c r="GO36" s="287"/>
      <c r="GP36" s="287"/>
      <c r="GQ36" s="287"/>
      <c r="GR36" s="287"/>
      <c r="GS36" s="287"/>
      <c r="GT36" s="287"/>
      <c r="GU36" s="287"/>
      <c r="GV36" s="287"/>
      <c r="GW36" s="287"/>
      <c r="GX36" s="287"/>
      <c r="GY36" s="287"/>
      <c r="GZ36" s="287"/>
      <c r="HA36" s="287"/>
      <c r="HB36" s="287"/>
      <c r="HC36" s="287"/>
      <c r="HD36" s="287"/>
      <c r="HE36" s="287"/>
      <c r="HF36" s="287"/>
      <c r="HG36" s="287"/>
      <c r="HH36" s="287"/>
      <c r="HI36" s="287"/>
      <c r="HJ36" s="287"/>
      <c r="HK36" s="287"/>
      <c r="HL36" s="287"/>
      <c r="HM36" s="287"/>
      <c r="HN36" s="287"/>
      <c r="HO36" s="287"/>
      <c r="HP36" s="287"/>
      <c r="HQ36" s="287"/>
      <c r="HR36" s="287"/>
      <c r="HS36" s="287"/>
      <c r="HT36" s="287"/>
      <c r="HU36" s="287"/>
      <c r="HV36" s="287"/>
      <c r="HW36" s="287"/>
      <c r="HX36" s="287"/>
      <c r="HY36" s="287"/>
      <c r="HZ36" s="287"/>
      <c r="IA36" s="287"/>
      <c r="IB36" s="287"/>
      <c r="IC36" s="287"/>
      <c r="ID36" s="287"/>
      <c r="IE36" s="287"/>
      <c r="IF36" s="287"/>
      <c r="IG36" s="287"/>
      <c r="IH36" s="287"/>
      <c r="II36" s="287"/>
      <c r="IJ36" s="287"/>
      <c r="IK36" s="287"/>
      <c r="IL36" s="287"/>
      <c r="IM36" s="287"/>
      <c r="IN36" s="287"/>
      <c r="IO36" s="287"/>
      <c r="IP36" s="287"/>
      <c r="IQ36" s="287"/>
      <c r="IR36" s="287"/>
      <c r="IS36" s="287"/>
      <c r="IT36" s="287"/>
    </row>
    <row r="37" s="40" customFormat="1" ht="20.25" customHeight="1" spans="1:254">
      <c r="A37" s="47">
        <v>32</v>
      </c>
      <c r="B37" s="63"/>
      <c r="C37" s="63" t="s">
        <v>658</v>
      </c>
      <c r="D37" s="63" t="s">
        <v>76</v>
      </c>
      <c r="E37" s="63" t="s">
        <v>870</v>
      </c>
      <c r="F37" s="64"/>
      <c r="G37" s="68" t="s">
        <v>3233</v>
      </c>
      <c r="H37" s="66" t="s">
        <v>177</v>
      </c>
      <c r="I37" s="113" t="str">
        <f t="shared" si="0"/>
        <v>Samsudin, S.Pd</v>
      </c>
      <c r="J37" s="129" t="s">
        <v>127</v>
      </c>
      <c r="K37" s="102" t="str">
        <f t="shared" si="10"/>
        <v>Laki-laki</v>
      </c>
      <c r="L37" s="68" t="s">
        <v>3234</v>
      </c>
      <c r="M37" s="131">
        <v>32766</v>
      </c>
      <c r="N37" s="132" t="str">
        <f ca="1" t="shared" si="11"/>
        <v>36 Tahun 1 Bulan </v>
      </c>
      <c r="O37" s="133" t="str">
        <f t="shared" si="12"/>
        <v>15 September 1989</v>
      </c>
      <c r="P37" s="63">
        <f ca="1" t="shared" si="13"/>
        <v>36</v>
      </c>
      <c r="Q37" s="63" t="str">
        <f ca="1" t="shared" si="3"/>
        <v>OKE</v>
      </c>
      <c r="R37" s="657" t="s">
        <v>3235</v>
      </c>
      <c r="S37" s="64"/>
      <c r="T37" s="583" t="s">
        <v>156</v>
      </c>
      <c r="U37" s="130" t="s">
        <v>83</v>
      </c>
      <c r="V37" s="129" t="s">
        <v>2917</v>
      </c>
      <c r="W37" s="63" t="s">
        <v>112</v>
      </c>
      <c r="X37" s="64" t="s">
        <v>3236</v>
      </c>
      <c r="Y37" s="63">
        <v>7</v>
      </c>
      <c r="Z37" s="64"/>
      <c r="AA37" s="64"/>
      <c r="AB37" s="130" t="s">
        <v>935</v>
      </c>
      <c r="AC37" s="63">
        <v>77353</v>
      </c>
      <c r="AD37" s="130" t="s">
        <v>131</v>
      </c>
      <c r="AE37" s="64"/>
      <c r="AF37" s="660" t="s">
        <v>3237</v>
      </c>
      <c r="AG37" s="228" t="s">
        <v>3238</v>
      </c>
      <c r="AH37" s="64"/>
      <c r="AI37" s="64"/>
      <c r="AJ37" s="64" t="s">
        <v>3239</v>
      </c>
      <c r="AK37" s="659" t="s">
        <v>2941</v>
      </c>
      <c r="AL37" s="225" t="str">
        <f ca="1" t="shared" si="4"/>
        <v>7 Tahun 10 Bulan </v>
      </c>
      <c r="AM37" s="64" t="s">
        <v>92</v>
      </c>
      <c r="AN37" s="129" t="s">
        <v>2922</v>
      </c>
      <c r="AO37" s="68" t="s">
        <v>3240</v>
      </c>
      <c r="AP37" s="64" t="s">
        <v>297</v>
      </c>
      <c r="AQ37" s="659" t="s">
        <v>156</v>
      </c>
      <c r="AR37" s="658" t="s">
        <v>156</v>
      </c>
      <c r="AS37" s="659" t="s">
        <v>156</v>
      </c>
      <c r="AT37" s="64"/>
      <c r="AU37" s="64" t="s">
        <v>883</v>
      </c>
      <c r="AV37" s="658" t="s">
        <v>156</v>
      </c>
      <c r="AW37" s="63" t="s">
        <v>100</v>
      </c>
      <c r="AX37" s="130" t="s">
        <v>885</v>
      </c>
      <c r="AY37" s="130" t="s">
        <v>3241</v>
      </c>
      <c r="AZ37" s="64"/>
      <c r="BA37" s="64"/>
      <c r="BB37" s="272" t="s">
        <v>346</v>
      </c>
      <c r="BC37" s="64" t="s">
        <v>3191</v>
      </c>
      <c r="BD37" s="64"/>
      <c r="BE37" s="64">
        <v>24</v>
      </c>
      <c r="BF37" s="64">
        <f t="shared" si="14"/>
        <v>24</v>
      </c>
      <c r="BG37" s="39" t="s">
        <v>345</v>
      </c>
      <c r="BH37" s="129" t="s">
        <v>526</v>
      </c>
      <c r="BI37" s="63" t="s">
        <v>3242</v>
      </c>
      <c r="BJ37" s="64" t="s">
        <v>3243</v>
      </c>
      <c r="BK37" s="196">
        <v>1332084301</v>
      </c>
      <c r="BL37" s="287"/>
      <c r="BM37" s="287"/>
      <c r="BN37" s="287"/>
      <c r="BO37" s="287"/>
      <c r="BP37" s="287"/>
      <c r="BQ37" s="287"/>
      <c r="BR37" s="287"/>
      <c r="BS37" s="287"/>
      <c r="BT37" s="287"/>
      <c r="BU37" s="287"/>
      <c r="BV37" s="287"/>
      <c r="BW37" s="287"/>
      <c r="BX37" s="287"/>
      <c r="BY37" s="287"/>
      <c r="BZ37" s="287"/>
      <c r="CA37" s="287"/>
      <c r="CB37" s="287"/>
      <c r="CC37" s="287"/>
      <c r="CD37" s="287"/>
      <c r="CE37" s="287"/>
      <c r="CF37" s="287"/>
      <c r="CG37" s="287"/>
      <c r="CH37" s="287"/>
      <c r="CI37" s="287"/>
      <c r="CJ37" s="287"/>
      <c r="CK37" s="287"/>
      <c r="CL37" s="287"/>
      <c r="CM37" s="287"/>
      <c r="CN37" s="287"/>
      <c r="CO37" s="287"/>
      <c r="CP37" s="287"/>
      <c r="CQ37" s="287"/>
      <c r="CR37" s="287"/>
      <c r="CS37" s="287"/>
      <c r="CT37" s="287"/>
      <c r="CU37" s="287"/>
      <c r="CV37" s="287"/>
      <c r="CW37" s="287"/>
      <c r="CX37" s="287"/>
      <c r="CY37" s="287"/>
      <c r="CZ37" s="287"/>
      <c r="DA37" s="287"/>
      <c r="DB37" s="287"/>
      <c r="DC37" s="287"/>
      <c r="DD37" s="287"/>
      <c r="DE37" s="287"/>
      <c r="DF37" s="287"/>
      <c r="DG37" s="287"/>
      <c r="DH37" s="287"/>
      <c r="DI37" s="287"/>
      <c r="DJ37" s="287"/>
      <c r="DK37" s="287"/>
      <c r="DL37" s="287"/>
      <c r="DM37" s="287"/>
      <c r="DN37" s="287"/>
      <c r="DO37" s="287"/>
      <c r="DP37" s="287"/>
      <c r="DQ37" s="287"/>
      <c r="DR37" s="287"/>
      <c r="DS37" s="287"/>
      <c r="DT37" s="287"/>
      <c r="DU37" s="287"/>
      <c r="DV37" s="287"/>
      <c r="DW37" s="287"/>
      <c r="DX37" s="287"/>
      <c r="DY37" s="287"/>
      <c r="DZ37" s="287"/>
      <c r="EA37" s="287"/>
      <c r="EB37" s="287"/>
      <c r="EC37" s="287"/>
      <c r="ED37" s="287"/>
      <c r="EE37" s="287"/>
      <c r="EF37" s="287"/>
      <c r="EG37" s="287"/>
      <c r="EH37" s="287"/>
      <c r="EI37" s="287"/>
      <c r="EJ37" s="287"/>
      <c r="EK37" s="287"/>
      <c r="EL37" s="287"/>
      <c r="EM37" s="287"/>
      <c r="EN37" s="287"/>
      <c r="EO37" s="287"/>
      <c r="EP37" s="287"/>
      <c r="EQ37" s="287"/>
      <c r="ER37" s="287"/>
      <c r="ES37" s="287"/>
      <c r="ET37" s="287"/>
      <c r="EU37" s="287"/>
      <c r="EV37" s="287"/>
      <c r="EW37" s="287"/>
      <c r="EX37" s="287"/>
      <c r="EY37" s="287"/>
      <c r="EZ37" s="287"/>
      <c r="FA37" s="287"/>
      <c r="FB37" s="287"/>
      <c r="FC37" s="287"/>
      <c r="FD37" s="287"/>
      <c r="FE37" s="287"/>
      <c r="FF37" s="287"/>
      <c r="FG37" s="287"/>
      <c r="FH37" s="287"/>
      <c r="FI37" s="287"/>
      <c r="FJ37" s="287"/>
      <c r="FK37" s="287"/>
      <c r="FL37" s="287"/>
      <c r="FM37" s="287"/>
      <c r="FN37" s="287"/>
      <c r="FO37" s="287"/>
      <c r="FP37" s="287"/>
      <c r="FQ37" s="287"/>
      <c r="FR37" s="287"/>
      <c r="FS37" s="287"/>
      <c r="FT37" s="287"/>
      <c r="FU37" s="287"/>
      <c r="FV37" s="287"/>
      <c r="FW37" s="287"/>
      <c r="FX37" s="287"/>
      <c r="FY37" s="287"/>
      <c r="FZ37" s="287"/>
      <c r="GA37" s="287"/>
      <c r="GB37" s="287"/>
      <c r="GC37" s="287"/>
      <c r="GD37" s="287"/>
      <c r="GE37" s="287"/>
      <c r="GF37" s="287"/>
      <c r="GG37" s="287"/>
      <c r="GH37" s="287"/>
      <c r="GI37" s="287"/>
      <c r="GJ37" s="287"/>
      <c r="GK37" s="287"/>
      <c r="GL37" s="287"/>
      <c r="GM37" s="287"/>
      <c r="GN37" s="287"/>
      <c r="GO37" s="287"/>
      <c r="GP37" s="287"/>
      <c r="GQ37" s="287"/>
      <c r="GR37" s="287"/>
      <c r="GS37" s="287"/>
      <c r="GT37" s="287"/>
      <c r="GU37" s="287"/>
      <c r="GV37" s="287"/>
      <c r="GW37" s="287"/>
      <c r="GX37" s="287"/>
      <c r="GY37" s="287"/>
      <c r="GZ37" s="287"/>
      <c r="HA37" s="287"/>
      <c r="HB37" s="287"/>
      <c r="HC37" s="287"/>
      <c r="HD37" s="287"/>
      <c r="HE37" s="287"/>
      <c r="HF37" s="287"/>
      <c r="HG37" s="287"/>
      <c r="HH37" s="287"/>
      <c r="HI37" s="287"/>
      <c r="HJ37" s="287"/>
      <c r="HK37" s="287"/>
      <c r="HL37" s="287"/>
      <c r="HM37" s="287"/>
      <c r="HN37" s="287"/>
      <c r="HO37" s="287"/>
      <c r="HP37" s="287"/>
      <c r="HQ37" s="287"/>
      <c r="HR37" s="287"/>
      <c r="HS37" s="287"/>
      <c r="HT37" s="287"/>
      <c r="HU37" s="287"/>
      <c r="HV37" s="287"/>
      <c r="HW37" s="287"/>
      <c r="HX37" s="287"/>
      <c r="HY37" s="287"/>
      <c r="HZ37" s="287"/>
      <c r="IA37" s="287"/>
      <c r="IB37" s="287"/>
      <c r="IC37" s="287"/>
      <c r="ID37" s="287"/>
      <c r="IE37" s="287"/>
      <c r="IF37" s="287"/>
      <c r="IG37" s="287"/>
      <c r="IH37" s="287"/>
      <c r="II37" s="287"/>
      <c r="IJ37" s="287"/>
      <c r="IK37" s="287"/>
      <c r="IL37" s="287"/>
      <c r="IM37" s="287"/>
      <c r="IN37" s="287"/>
      <c r="IO37" s="287"/>
      <c r="IP37" s="287"/>
      <c r="IQ37" s="287"/>
      <c r="IR37" s="287"/>
      <c r="IS37" s="287"/>
      <c r="IT37" s="287"/>
    </row>
    <row r="38" s="40" customFormat="1" ht="20.25" customHeight="1" spans="1:254">
      <c r="A38" s="10">
        <v>33</v>
      </c>
      <c r="B38" s="63"/>
      <c r="C38" s="63" t="s">
        <v>658</v>
      </c>
      <c r="D38" s="63" t="s">
        <v>76</v>
      </c>
      <c r="E38" s="63" t="s">
        <v>870</v>
      </c>
      <c r="F38" s="64"/>
      <c r="G38" s="68" t="s">
        <v>3244</v>
      </c>
      <c r="H38" s="66" t="s">
        <v>177</v>
      </c>
      <c r="I38" s="113" t="str">
        <f t="shared" si="0"/>
        <v>Octaviani Istikharoh, S.Pd</v>
      </c>
      <c r="J38" s="129" t="s">
        <v>80</v>
      </c>
      <c r="K38" s="102" t="str">
        <f t="shared" si="10"/>
        <v>Perempuan</v>
      </c>
      <c r="L38" s="68" t="s">
        <v>88</v>
      </c>
      <c r="M38" s="131">
        <v>34984</v>
      </c>
      <c r="N38" s="132" t="str">
        <f ca="1" t="shared" si="11"/>
        <v>30 Tahun 0 Bulan </v>
      </c>
      <c r="O38" s="133" t="str">
        <f t="shared" si="12"/>
        <v>12 October 1995</v>
      </c>
      <c r="P38" s="63">
        <f ca="1" t="shared" si="13"/>
        <v>30</v>
      </c>
      <c r="Q38" s="63" t="str">
        <f ca="1" t="shared" si="3"/>
        <v>OKE</v>
      </c>
      <c r="R38" s="657" t="s">
        <v>3245</v>
      </c>
      <c r="S38" s="64"/>
      <c r="T38" s="583" t="s">
        <v>156</v>
      </c>
      <c r="U38" s="130" t="s">
        <v>83</v>
      </c>
      <c r="V38" s="129" t="s">
        <v>2917</v>
      </c>
      <c r="W38" s="63" t="s">
        <v>112</v>
      </c>
      <c r="X38" s="64" t="s">
        <v>3246</v>
      </c>
      <c r="Y38" s="63">
        <v>29</v>
      </c>
      <c r="Z38" s="64"/>
      <c r="AA38" s="64"/>
      <c r="AB38" s="130" t="s">
        <v>88</v>
      </c>
      <c r="AC38" s="63">
        <v>77311</v>
      </c>
      <c r="AD38" s="130" t="s">
        <v>88</v>
      </c>
      <c r="AE38" s="64"/>
      <c r="AF38" s="660" t="s">
        <v>3247</v>
      </c>
      <c r="AG38" s="228" t="s">
        <v>3248</v>
      </c>
      <c r="AH38" s="64"/>
      <c r="AI38" s="64"/>
      <c r="AJ38" s="64" t="s">
        <v>3249</v>
      </c>
      <c r="AK38" s="659" t="s">
        <v>2941</v>
      </c>
      <c r="AL38" s="225" t="str">
        <f ca="1" t="shared" si="4"/>
        <v>7 Tahun 10 Bulan </v>
      </c>
      <c r="AM38" s="64" t="s">
        <v>92</v>
      </c>
      <c r="AN38" s="129" t="s">
        <v>2922</v>
      </c>
      <c r="AO38" s="68" t="s">
        <v>3250</v>
      </c>
      <c r="AP38" s="64" t="s">
        <v>297</v>
      </c>
      <c r="AQ38" s="659" t="s">
        <v>156</v>
      </c>
      <c r="AR38" s="658" t="s">
        <v>156</v>
      </c>
      <c r="AS38" s="659" t="s">
        <v>156</v>
      </c>
      <c r="AT38" s="64"/>
      <c r="AU38" s="64" t="s">
        <v>883</v>
      </c>
      <c r="AV38" s="658" t="s">
        <v>156</v>
      </c>
      <c r="AW38" s="63" t="s">
        <v>100</v>
      </c>
      <c r="AX38" s="130" t="s">
        <v>885</v>
      </c>
      <c r="AY38" s="130" t="s">
        <v>3251</v>
      </c>
      <c r="AZ38" s="64"/>
      <c r="BA38" s="64"/>
      <c r="BB38" s="272" t="s">
        <v>346</v>
      </c>
      <c r="BC38" s="64" t="s">
        <v>313</v>
      </c>
      <c r="BD38" s="64"/>
      <c r="BE38" s="64">
        <v>24</v>
      </c>
      <c r="BF38" s="64">
        <f t="shared" si="14"/>
        <v>24</v>
      </c>
      <c r="BG38" s="39" t="s">
        <v>2536</v>
      </c>
      <c r="BH38" s="129" t="s">
        <v>526</v>
      </c>
      <c r="BI38" s="129" t="s">
        <v>88</v>
      </c>
      <c r="BJ38" s="68" t="s">
        <v>3244</v>
      </c>
      <c r="BK38" s="659" t="s">
        <v>3252</v>
      </c>
      <c r="BL38" s="287"/>
      <c r="BM38" s="287"/>
      <c r="BN38" s="287"/>
      <c r="BO38" s="287"/>
      <c r="BP38" s="287"/>
      <c r="BQ38" s="287"/>
      <c r="BR38" s="287"/>
      <c r="BS38" s="287"/>
      <c r="BT38" s="287"/>
      <c r="BU38" s="287"/>
      <c r="BV38" s="287"/>
      <c r="BW38" s="287"/>
      <c r="BX38" s="287"/>
      <c r="BY38" s="287"/>
      <c r="BZ38" s="287"/>
      <c r="CA38" s="287"/>
      <c r="CB38" s="287"/>
      <c r="CC38" s="287"/>
      <c r="CD38" s="287"/>
      <c r="CE38" s="287"/>
      <c r="CF38" s="287"/>
      <c r="CG38" s="287"/>
      <c r="CH38" s="287"/>
      <c r="CI38" s="287"/>
      <c r="CJ38" s="287"/>
      <c r="CK38" s="287"/>
      <c r="CL38" s="287"/>
      <c r="CM38" s="287"/>
      <c r="CN38" s="287"/>
      <c r="CO38" s="287"/>
      <c r="CP38" s="287"/>
      <c r="CQ38" s="287"/>
      <c r="CR38" s="287"/>
      <c r="CS38" s="287"/>
      <c r="CT38" s="287"/>
      <c r="CU38" s="287"/>
      <c r="CV38" s="287"/>
      <c r="CW38" s="287"/>
      <c r="CX38" s="287"/>
      <c r="CY38" s="287"/>
      <c r="CZ38" s="287"/>
      <c r="DA38" s="287"/>
      <c r="DB38" s="287"/>
      <c r="DC38" s="287"/>
      <c r="DD38" s="287"/>
      <c r="DE38" s="287"/>
      <c r="DF38" s="287"/>
      <c r="DG38" s="287"/>
      <c r="DH38" s="287"/>
      <c r="DI38" s="287"/>
      <c r="DJ38" s="287"/>
      <c r="DK38" s="287"/>
      <c r="DL38" s="287"/>
      <c r="DM38" s="287"/>
      <c r="DN38" s="287"/>
      <c r="DO38" s="287"/>
      <c r="DP38" s="287"/>
      <c r="DQ38" s="287"/>
      <c r="DR38" s="287"/>
      <c r="DS38" s="287"/>
      <c r="DT38" s="287"/>
      <c r="DU38" s="287"/>
      <c r="DV38" s="287"/>
      <c r="DW38" s="287"/>
      <c r="DX38" s="287"/>
      <c r="DY38" s="287"/>
      <c r="DZ38" s="287"/>
      <c r="EA38" s="287"/>
      <c r="EB38" s="287"/>
      <c r="EC38" s="287"/>
      <c r="ED38" s="287"/>
      <c r="EE38" s="287"/>
      <c r="EF38" s="287"/>
      <c r="EG38" s="287"/>
      <c r="EH38" s="287"/>
      <c r="EI38" s="287"/>
      <c r="EJ38" s="287"/>
      <c r="EK38" s="287"/>
      <c r="EL38" s="287"/>
      <c r="EM38" s="287"/>
      <c r="EN38" s="287"/>
      <c r="EO38" s="287"/>
      <c r="EP38" s="287"/>
      <c r="EQ38" s="287"/>
      <c r="ER38" s="287"/>
      <c r="ES38" s="287"/>
      <c r="ET38" s="287"/>
      <c r="EU38" s="287"/>
      <c r="EV38" s="287"/>
      <c r="EW38" s="287"/>
      <c r="EX38" s="287"/>
      <c r="EY38" s="287"/>
      <c r="EZ38" s="287"/>
      <c r="FA38" s="287"/>
      <c r="FB38" s="287"/>
      <c r="FC38" s="287"/>
      <c r="FD38" s="287"/>
      <c r="FE38" s="287"/>
      <c r="FF38" s="287"/>
      <c r="FG38" s="287"/>
      <c r="FH38" s="287"/>
      <c r="FI38" s="287"/>
      <c r="FJ38" s="287"/>
      <c r="FK38" s="287"/>
      <c r="FL38" s="287"/>
      <c r="FM38" s="287"/>
      <c r="FN38" s="287"/>
      <c r="FO38" s="287"/>
      <c r="FP38" s="287"/>
      <c r="FQ38" s="287"/>
      <c r="FR38" s="287"/>
      <c r="FS38" s="287"/>
      <c r="FT38" s="287"/>
      <c r="FU38" s="287"/>
      <c r="FV38" s="287"/>
      <c r="FW38" s="287"/>
      <c r="FX38" s="287"/>
      <c r="FY38" s="287"/>
      <c r="FZ38" s="287"/>
      <c r="GA38" s="287"/>
      <c r="GB38" s="287"/>
      <c r="GC38" s="287"/>
      <c r="GD38" s="287"/>
      <c r="GE38" s="287"/>
      <c r="GF38" s="287"/>
      <c r="GG38" s="287"/>
      <c r="GH38" s="287"/>
      <c r="GI38" s="287"/>
      <c r="GJ38" s="287"/>
      <c r="GK38" s="287"/>
      <c r="GL38" s="287"/>
      <c r="GM38" s="287"/>
      <c r="GN38" s="287"/>
      <c r="GO38" s="287"/>
      <c r="GP38" s="287"/>
      <c r="GQ38" s="287"/>
      <c r="GR38" s="287"/>
      <c r="GS38" s="287"/>
      <c r="GT38" s="287"/>
      <c r="GU38" s="287"/>
      <c r="GV38" s="287"/>
      <c r="GW38" s="287"/>
      <c r="GX38" s="287"/>
      <c r="GY38" s="287"/>
      <c r="GZ38" s="287"/>
      <c r="HA38" s="287"/>
      <c r="HB38" s="287"/>
      <c r="HC38" s="287"/>
      <c r="HD38" s="287"/>
      <c r="HE38" s="287"/>
      <c r="HF38" s="287"/>
      <c r="HG38" s="287"/>
      <c r="HH38" s="287"/>
      <c r="HI38" s="287"/>
      <c r="HJ38" s="287"/>
      <c r="HK38" s="287"/>
      <c r="HL38" s="287"/>
      <c r="HM38" s="287"/>
      <c r="HN38" s="287"/>
      <c r="HO38" s="287"/>
      <c r="HP38" s="287"/>
      <c r="HQ38" s="287"/>
      <c r="HR38" s="287"/>
      <c r="HS38" s="287"/>
      <c r="HT38" s="287"/>
      <c r="HU38" s="287"/>
      <c r="HV38" s="287"/>
      <c r="HW38" s="287"/>
      <c r="HX38" s="287"/>
      <c r="HY38" s="287"/>
      <c r="HZ38" s="287"/>
      <c r="IA38" s="287"/>
      <c r="IB38" s="287"/>
      <c r="IC38" s="287"/>
      <c r="ID38" s="287"/>
      <c r="IE38" s="287"/>
      <c r="IF38" s="287"/>
      <c r="IG38" s="287"/>
      <c r="IH38" s="287"/>
      <c r="II38" s="287"/>
      <c r="IJ38" s="287"/>
      <c r="IK38" s="287"/>
      <c r="IL38" s="287"/>
      <c r="IM38" s="287"/>
      <c r="IN38" s="287"/>
      <c r="IO38" s="287"/>
      <c r="IP38" s="287"/>
      <c r="IQ38" s="287"/>
      <c r="IR38" s="287"/>
      <c r="IS38" s="287"/>
      <c r="IT38" s="287"/>
    </row>
    <row r="39" s="40" customFormat="1" ht="20.25" customHeight="1" spans="1:254">
      <c r="A39" s="47">
        <v>34</v>
      </c>
      <c r="B39" s="69"/>
      <c r="C39" s="69" t="s">
        <v>658</v>
      </c>
      <c r="D39" s="69" t="s">
        <v>76</v>
      </c>
      <c r="E39" s="69" t="s">
        <v>870</v>
      </c>
      <c r="F39" s="70"/>
      <c r="G39" s="71" t="s">
        <v>3253</v>
      </c>
      <c r="H39" s="72" t="s">
        <v>177</v>
      </c>
      <c r="I39" s="113" t="str">
        <f t="shared" si="0"/>
        <v>Jurnalis, S.Pd</v>
      </c>
      <c r="J39" s="134" t="s">
        <v>127</v>
      </c>
      <c r="K39" s="102" t="str">
        <f t="shared" si="10"/>
        <v>Laki-laki</v>
      </c>
      <c r="L39" s="71" t="s">
        <v>1775</v>
      </c>
      <c r="M39" s="131">
        <v>33613</v>
      </c>
      <c r="N39" s="135" t="str">
        <f ca="1" t="shared" si="11"/>
        <v>33 Tahun 9 Bulan </v>
      </c>
      <c r="O39" s="136" t="str">
        <f t="shared" si="12"/>
        <v>10 January 1992</v>
      </c>
      <c r="P39" s="69">
        <f ca="1" t="shared" si="13"/>
        <v>33</v>
      </c>
      <c r="Q39" s="69" t="str">
        <f ca="1" t="shared" si="3"/>
        <v>OKE</v>
      </c>
      <c r="R39" s="661" t="s">
        <v>3254</v>
      </c>
      <c r="S39" s="70"/>
      <c r="T39" s="591" t="s">
        <v>156</v>
      </c>
      <c r="U39" s="178" t="s">
        <v>83</v>
      </c>
      <c r="V39" s="134" t="s">
        <v>2917</v>
      </c>
      <c r="W39" s="69" t="s">
        <v>112</v>
      </c>
      <c r="X39" s="70" t="s">
        <v>3255</v>
      </c>
      <c r="Y39" s="69">
        <v>2</v>
      </c>
      <c r="Z39" s="70"/>
      <c r="AA39" s="70"/>
      <c r="AB39" s="178" t="s">
        <v>3256</v>
      </c>
      <c r="AC39" s="662" t="s">
        <v>156</v>
      </c>
      <c r="AD39" s="178" t="s">
        <v>450</v>
      </c>
      <c r="AE39" s="70"/>
      <c r="AF39" s="663" t="s">
        <v>3257</v>
      </c>
      <c r="AG39" s="229" t="s">
        <v>3258</v>
      </c>
      <c r="AH39" s="70"/>
      <c r="AI39" s="70"/>
      <c r="AJ39" s="70" t="s">
        <v>3259</v>
      </c>
      <c r="AK39" s="588" t="s">
        <v>2941</v>
      </c>
      <c r="AL39" s="225" t="str">
        <f ca="1" t="shared" si="4"/>
        <v>7 Tahun 10 Bulan </v>
      </c>
      <c r="AM39" s="70" t="s">
        <v>92</v>
      </c>
      <c r="AN39" s="134" t="s">
        <v>2922</v>
      </c>
      <c r="AO39" s="71" t="s">
        <v>3260</v>
      </c>
      <c r="AP39" s="70" t="s">
        <v>297</v>
      </c>
      <c r="AQ39" s="588" t="s">
        <v>156</v>
      </c>
      <c r="AR39" s="664" t="s">
        <v>156</v>
      </c>
      <c r="AS39" s="588" t="s">
        <v>156</v>
      </c>
      <c r="AT39" s="70"/>
      <c r="AU39" s="70" t="s">
        <v>883</v>
      </c>
      <c r="AV39" s="664" t="s">
        <v>156</v>
      </c>
      <c r="AW39" s="69" t="s">
        <v>100</v>
      </c>
      <c r="AX39" s="178" t="s">
        <v>885</v>
      </c>
      <c r="AY39" s="178" t="s">
        <v>1007</v>
      </c>
      <c r="AZ39" s="70"/>
      <c r="BA39" s="70"/>
      <c r="BB39" s="273" t="s">
        <v>346</v>
      </c>
      <c r="BC39" s="70" t="s">
        <v>686</v>
      </c>
      <c r="BD39" s="70"/>
      <c r="BE39" s="70">
        <v>24</v>
      </c>
      <c r="BF39" s="70">
        <f t="shared" si="14"/>
        <v>24</v>
      </c>
      <c r="BG39" s="39" t="s">
        <v>1007</v>
      </c>
      <c r="BH39" s="129" t="s">
        <v>526</v>
      </c>
      <c r="BI39" s="134" t="s">
        <v>88</v>
      </c>
      <c r="BJ39" s="71" t="s">
        <v>3253</v>
      </c>
      <c r="BK39" s="588" t="s">
        <v>3261</v>
      </c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  <c r="BX39" s="287"/>
      <c r="BY39" s="287"/>
      <c r="BZ39" s="287"/>
      <c r="CA39" s="287"/>
      <c r="CB39" s="287"/>
      <c r="CC39" s="287"/>
      <c r="CD39" s="287"/>
      <c r="CE39" s="287"/>
      <c r="CF39" s="287"/>
      <c r="CG39" s="287"/>
      <c r="CH39" s="287"/>
      <c r="CI39" s="287"/>
      <c r="CJ39" s="287"/>
      <c r="CK39" s="287"/>
      <c r="CL39" s="287"/>
      <c r="CM39" s="287"/>
      <c r="CN39" s="287"/>
      <c r="CO39" s="287"/>
      <c r="CP39" s="287"/>
      <c r="CQ39" s="287"/>
      <c r="CR39" s="287"/>
      <c r="CS39" s="287"/>
      <c r="CT39" s="287"/>
      <c r="CU39" s="287"/>
      <c r="CV39" s="287"/>
      <c r="CW39" s="287"/>
      <c r="CX39" s="287"/>
      <c r="CY39" s="287"/>
      <c r="CZ39" s="287"/>
      <c r="DA39" s="287"/>
      <c r="DB39" s="287"/>
      <c r="DC39" s="287"/>
      <c r="DD39" s="287"/>
      <c r="DE39" s="287"/>
      <c r="DF39" s="287"/>
      <c r="DG39" s="287"/>
      <c r="DH39" s="287"/>
      <c r="DI39" s="287"/>
      <c r="DJ39" s="287"/>
      <c r="DK39" s="287"/>
      <c r="DL39" s="287"/>
      <c r="DM39" s="287"/>
      <c r="DN39" s="287"/>
      <c r="DO39" s="287"/>
      <c r="DP39" s="287"/>
      <c r="DQ39" s="287"/>
      <c r="DR39" s="287"/>
      <c r="DS39" s="287"/>
      <c r="DT39" s="287"/>
      <c r="DU39" s="287"/>
      <c r="DV39" s="287"/>
      <c r="DW39" s="287"/>
      <c r="DX39" s="287"/>
      <c r="DY39" s="287"/>
      <c r="DZ39" s="287"/>
      <c r="EA39" s="287"/>
      <c r="EB39" s="287"/>
      <c r="EC39" s="287"/>
      <c r="ED39" s="287"/>
      <c r="EE39" s="287"/>
      <c r="EF39" s="287"/>
      <c r="EG39" s="287"/>
      <c r="EH39" s="287"/>
      <c r="EI39" s="287"/>
      <c r="EJ39" s="287"/>
      <c r="EK39" s="287"/>
      <c r="EL39" s="287"/>
      <c r="EM39" s="287"/>
      <c r="EN39" s="287"/>
      <c r="EO39" s="287"/>
      <c r="EP39" s="287"/>
      <c r="EQ39" s="287"/>
      <c r="ER39" s="287"/>
      <c r="ES39" s="287"/>
      <c r="ET39" s="287"/>
      <c r="EU39" s="287"/>
      <c r="EV39" s="287"/>
      <c r="EW39" s="287"/>
      <c r="EX39" s="287"/>
      <c r="EY39" s="287"/>
      <c r="EZ39" s="287"/>
      <c r="FA39" s="287"/>
      <c r="FB39" s="287"/>
      <c r="FC39" s="287"/>
      <c r="FD39" s="287"/>
      <c r="FE39" s="287"/>
      <c r="FF39" s="287"/>
      <c r="FG39" s="287"/>
      <c r="FH39" s="287"/>
      <c r="FI39" s="287"/>
      <c r="FJ39" s="287"/>
      <c r="FK39" s="287"/>
      <c r="FL39" s="287"/>
      <c r="FM39" s="287"/>
      <c r="FN39" s="287"/>
      <c r="FO39" s="287"/>
      <c r="FP39" s="287"/>
      <c r="FQ39" s="287"/>
      <c r="FR39" s="287"/>
      <c r="FS39" s="287"/>
      <c r="FT39" s="287"/>
      <c r="FU39" s="287"/>
      <c r="FV39" s="287"/>
      <c r="FW39" s="287"/>
      <c r="FX39" s="287"/>
      <c r="FY39" s="287"/>
      <c r="FZ39" s="287"/>
      <c r="GA39" s="287"/>
      <c r="GB39" s="287"/>
      <c r="GC39" s="287"/>
      <c r="GD39" s="287"/>
      <c r="GE39" s="287"/>
      <c r="GF39" s="287"/>
      <c r="GG39" s="287"/>
      <c r="GH39" s="287"/>
      <c r="GI39" s="287"/>
      <c r="GJ39" s="287"/>
      <c r="GK39" s="287"/>
      <c r="GL39" s="287"/>
      <c r="GM39" s="287"/>
      <c r="GN39" s="287"/>
      <c r="GO39" s="287"/>
      <c r="GP39" s="287"/>
      <c r="GQ39" s="287"/>
      <c r="GR39" s="287"/>
      <c r="GS39" s="287"/>
      <c r="GT39" s="287"/>
      <c r="GU39" s="287"/>
      <c r="GV39" s="287"/>
      <c r="GW39" s="287"/>
      <c r="GX39" s="287"/>
      <c r="GY39" s="287"/>
      <c r="GZ39" s="287"/>
      <c r="HA39" s="287"/>
      <c r="HB39" s="287"/>
      <c r="HC39" s="287"/>
      <c r="HD39" s="287"/>
      <c r="HE39" s="287"/>
      <c r="HF39" s="287"/>
      <c r="HG39" s="287"/>
      <c r="HH39" s="287"/>
      <c r="HI39" s="287"/>
      <c r="HJ39" s="287"/>
      <c r="HK39" s="287"/>
      <c r="HL39" s="287"/>
      <c r="HM39" s="287"/>
      <c r="HN39" s="287"/>
      <c r="HO39" s="287"/>
      <c r="HP39" s="287"/>
      <c r="HQ39" s="287"/>
      <c r="HR39" s="287"/>
      <c r="HS39" s="287"/>
      <c r="HT39" s="287"/>
      <c r="HU39" s="287"/>
      <c r="HV39" s="287"/>
      <c r="HW39" s="287"/>
      <c r="HX39" s="287"/>
      <c r="HY39" s="287"/>
      <c r="HZ39" s="287"/>
      <c r="IA39" s="287"/>
      <c r="IB39" s="287"/>
      <c r="IC39" s="287"/>
      <c r="ID39" s="287"/>
      <c r="IE39" s="287"/>
      <c r="IF39" s="287"/>
      <c r="IG39" s="287"/>
      <c r="IH39" s="287"/>
      <c r="II39" s="287"/>
      <c r="IJ39" s="287"/>
      <c r="IK39" s="287"/>
      <c r="IL39" s="287"/>
      <c r="IM39" s="287"/>
      <c r="IN39" s="287"/>
      <c r="IO39" s="287"/>
      <c r="IP39" s="287"/>
      <c r="IQ39" s="287"/>
      <c r="IR39" s="287"/>
      <c r="IS39" s="287"/>
      <c r="IT39" s="287"/>
    </row>
    <row r="40" s="41" customFormat="1" spans="1:254">
      <c r="A40" s="10">
        <v>35</v>
      </c>
      <c r="B40" s="73"/>
      <c r="C40" s="73" t="s">
        <v>658</v>
      </c>
      <c r="D40" s="73" t="s">
        <v>76</v>
      </c>
      <c r="E40" s="73" t="s">
        <v>870</v>
      </c>
      <c r="F40" s="74"/>
      <c r="G40" s="75" t="s">
        <v>3182</v>
      </c>
      <c r="H40" s="76"/>
      <c r="I40" s="113" t="str">
        <f t="shared" si="0"/>
        <v>Irwan</v>
      </c>
      <c r="J40" s="137" t="s">
        <v>127</v>
      </c>
      <c r="K40" s="102" t="str">
        <f t="shared" si="10"/>
        <v>Laki-laki</v>
      </c>
      <c r="L40" s="75" t="s">
        <v>3262</v>
      </c>
      <c r="M40" s="131">
        <v>28692</v>
      </c>
      <c r="N40" s="138" t="str">
        <f ca="1" t="shared" si="11"/>
        <v>47 Tahun 3 Bulan </v>
      </c>
      <c r="O40" s="139" t="str">
        <f t="shared" si="12"/>
        <v>21 July 1978</v>
      </c>
      <c r="P40" s="140">
        <f ca="1" t="shared" si="13"/>
        <v>47</v>
      </c>
      <c r="Q40" s="140" t="str">
        <f ca="1" t="shared" si="3"/>
        <v>OKE</v>
      </c>
      <c r="R40" s="665" t="s">
        <v>3263</v>
      </c>
      <c r="S40" s="74"/>
      <c r="T40" s="666" t="s">
        <v>156</v>
      </c>
      <c r="U40" s="180" t="s">
        <v>750</v>
      </c>
      <c r="V40" s="137" t="s">
        <v>2936</v>
      </c>
      <c r="W40" s="73" t="s">
        <v>112</v>
      </c>
      <c r="X40" s="74" t="s">
        <v>3131</v>
      </c>
      <c r="Y40" s="73">
        <v>5</v>
      </c>
      <c r="Z40" s="74"/>
      <c r="AA40" s="74"/>
      <c r="AB40" s="180" t="s">
        <v>893</v>
      </c>
      <c r="AC40" s="73">
        <v>77353</v>
      </c>
      <c r="AD40" s="180" t="s">
        <v>131</v>
      </c>
      <c r="AE40" s="74"/>
      <c r="AF40" s="667" t="s">
        <v>3264</v>
      </c>
      <c r="AG40" s="230" t="s">
        <v>3265</v>
      </c>
      <c r="AH40" s="74"/>
      <c r="AI40" s="74"/>
      <c r="AJ40" s="74" t="s">
        <v>3266</v>
      </c>
      <c r="AK40" s="668" t="s">
        <v>3267</v>
      </c>
      <c r="AL40" s="225" t="str">
        <f ca="1" t="shared" si="4"/>
        <v>7 Tahun 9 Bulan </v>
      </c>
      <c r="AM40" s="74" t="s">
        <v>92</v>
      </c>
      <c r="AN40" s="231" t="s">
        <v>2922</v>
      </c>
      <c r="AO40" s="75" t="s">
        <v>3268</v>
      </c>
      <c r="AP40" s="74" t="s">
        <v>95</v>
      </c>
      <c r="AQ40" s="668" t="s">
        <v>156</v>
      </c>
      <c r="AR40" s="669" t="s">
        <v>156</v>
      </c>
      <c r="AS40" s="668" t="s">
        <v>156</v>
      </c>
      <c r="AT40" s="74"/>
      <c r="AU40" s="74" t="s">
        <v>883</v>
      </c>
      <c r="AV40" s="669" t="s">
        <v>156</v>
      </c>
      <c r="AW40" s="73" t="s">
        <v>100</v>
      </c>
      <c r="AX40" s="274" t="s">
        <v>120</v>
      </c>
      <c r="AY40" s="180" t="s">
        <v>1086</v>
      </c>
      <c r="AZ40" s="74"/>
      <c r="BA40" s="74"/>
      <c r="BB40" s="75"/>
      <c r="BC40" s="74"/>
      <c r="BD40" s="74"/>
      <c r="BE40" s="74"/>
      <c r="BF40" s="74"/>
      <c r="BG40" s="74"/>
      <c r="BH40" s="129" t="s">
        <v>526</v>
      </c>
      <c r="BI40" s="137" t="s">
        <v>3269</v>
      </c>
      <c r="BJ40" s="75" t="s">
        <v>3182</v>
      </c>
      <c r="BK40" s="668" t="s">
        <v>3270</v>
      </c>
      <c r="BL40" s="288"/>
      <c r="BM40" s="288"/>
      <c r="BN40" s="288"/>
      <c r="BO40" s="288"/>
      <c r="BP40" s="288"/>
      <c r="BQ40" s="288"/>
      <c r="BR40" s="288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288"/>
      <c r="CF40" s="288"/>
      <c r="CG40" s="288"/>
      <c r="CH40" s="288"/>
      <c r="CI40" s="288"/>
      <c r="CJ40" s="288"/>
      <c r="CK40" s="288"/>
      <c r="CL40" s="288"/>
      <c r="CM40" s="288"/>
      <c r="CN40" s="288"/>
      <c r="CO40" s="288"/>
      <c r="CP40" s="288"/>
      <c r="CQ40" s="288"/>
      <c r="CR40" s="288"/>
      <c r="CS40" s="288"/>
      <c r="CT40" s="288"/>
      <c r="CU40" s="288"/>
      <c r="CV40" s="288"/>
      <c r="CW40" s="288"/>
      <c r="CX40" s="288"/>
      <c r="CY40" s="288"/>
      <c r="CZ40" s="288"/>
      <c r="DA40" s="288"/>
      <c r="DB40" s="288"/>
      <c r="DC40" s="288"/>
      <c r="DD40" s="288"/>
      <c r="DE40" s="288"/>
      <c r="DF40" s="288"/>
      <c r="DG40" s="288"/>
      <c r="DH40" s="288"/>
      <c r="DI40" s="288"/>
      <c r="DJ40" s="288"/>
      <c r="DK40" s="288"/>
      <c r="DL40" s="288"/>
      <c r="DM40" s="288"/>
      <c r="DN40" s="288"/>
      <c r="DO40" s="288"/>
      <c r="DP40" s="288"/>
      <c r="DQ40" s="288"/>
      <c r="DR40" s="288"/>
      <c r="DS40" s="288"/>
      <c r="DT40" s="288"/>
      <c r="DU40" s="288"/>
      <c r="DV40" s="288"/>
      <c r="DW40" s="288"/>
      <c r="DX40" s="288"/>
      <c r="DY40" s="288"/>
      <c r="DZ40" s="288"/>
      <c r="EA40" s="288"/>
      <c r="EB40" s="288"/>
      <c r="EC40" s="288"/>
      <c r="ED40" s="288"/>
      <c r="EE40" s="288"/>
      <c r="EF40" s="288"/>
      <c r="EG40" s="288"/>
      <c r="EH40" s="288"/>
      <c r="EI40" s="288"/>
      <c r="EJ40" s="288"/>
      <c r="EK40" s="288"/>
      <c r="EL40" s="288"/>
      <c r="EM40" s="288"/>
      <c r="EN40" s="288"/>
      <c r="EO40" s="288"/>
      <c r="EP40" s="288"/>
      <c r="EQ40" s="288"/>
      <c r="ER40" s="288"/>
      <c r="ES40" s="288"/>
      <c r="ET40" s="288"/>
      <c r="EU40" s="288"/>
      <c r="EV40" s="288"/>
      <c r="EW40" s="288"/>
      <c r="EX40" s="288"/>
      <c r="EY40" s="288"/>
      <c r="EZ40" s="288"/>
      <c r="FA40" s="288"/>
      <c r="FB40" s="288"/>
      <c r="FC40" s="288"/>
      <c r="FD40" s="288"/>
      <c r="FE40" s="288"/>
      <c r="FF40" s="288"/>
      <c r="FG40" s="288"/>
      <c r="FH40" s="288"/>
      <c r="FI40" s="288"/>
      <c r="FJ40" s="288"/>
      <c r="FK40" s="288"/>
      <c r="FL40" s="288"/>
      <c r="FM40" s="288"/>
      <c r="FN40" s="288"/>
      <c r="FO40" s="288"/>
      <c r="FP40" s="288"/>
      <c r="FQ40" s="288"/>
      <c r="FR40" s="288"/>
      <c r="FS40" s="288"/>
      <c r="FT40" s="288"/>
      <c r="FU40" s="288"/>
      <c r="FV40" s="288"/>
      <c r="FW40" s="288"/>
      <c r="FX40" s="288"/>
      <c r="FY40" s="288"/>
      <c r="FZ40" s="288"/>
      <c r="GA40" s="288"/>
      <c r="GB40" s="288"/>
      <c r="GC40" s="288"/>
      <c r="GD40" s="288"/>
      <c r="GE40" s="288"/>
      <c r="GF40" s="288"/>
      <c r="GG40" s="288"/>
      <c r="GH40" s="288"/>
      <c r="GI40" s="288"/>
      <c r="GJ40" s="288"/>
      <c r="GK40" s="288"/>
      <c r="GL40" s="288"/>
      <c r="GM40" s="288"/>
      <c r="GN40" s="288"/>
      <c r="GO40" s="288"/>
      <c r="GP40" s="288"/>
      <c r="GQ40" s="288"/>
      <c r="GR40" s="288"/>
      <c r="GS40" s="288"/>
      <c r="GT40" s="288"/>
      <c r="GU40" s="288"/>
      <c r="GV40" s="288"/>
      <c r="GW40" s="288"/>
      <c r="GX40" s="288"/>
      <c r="GY40" s="288"/>
      <c r="GZ40" s="288"/>
      <c r="HA40" s="288"/>
      <c r="HB40" s="288"/>
      <c r="HC40" s="288"/>
      <c r="HD40" s="288"/>
      <c r="HE40" s="288"/>
      <c r="HF40" s="288"/>
      <c r="HG40" s="288"/>
      <c r="HH40" s="288"/>
      <c r="HI40" s="288"/>
      <c r="HJ40" s="288"/>
      <c r="HK40" s="288"/>
      <c r="HL40" s="288"/>
      <c r="HM40" s="288"/>
      <c r="HN40" s="288"/>
      <c r="HO40" s="288"/>
      <c r="HP40" s="288"/>
      <c r="HQ40" s="288"/>
      <c r="HR40" s="288"/>
      <c r="HS40" s="288"/>
      <c r="HT40" s="288"/>
      <c r="HU40" s="288"/>
      <c r="HV40" s="288"/>
      <c r="HW40" s="288"/>
      <c r="HX40" s="288"/>
      <c r="HY40" s="288"/>
      <c r="HZ40" s="288"/>
      <c r="IA40" s="288"/>
      <c r="IB40" s="288"/>
      <c r="IC40" s="288"/>
      <c r="ID40" s="288"/>
      <c r="IE40" s="288"/>
      <c r="IF40" s="288"/>
      <c r="IG40" s="288"/>
      <c r="IH40" s="288"/>
      <c r="II40" s="288"/>
      <c r="IJ40" s="288"/>
      <c r="IK40" s="288"/>
      <c r="IL40" s="288"/>
      <c r="IM40" s="288"/>
      <c r="IN40" s="288"/>
      <c r="IO40" s="288"/>
      <c r="IP40" s="288"/>
      <c r="IQ40" s="288"/>
      <c r="IR40" s="288"/>
      <c r="IS40" s="288"/>
      <c r="IT40" s="288"/>
    </row>
    <row r="41" s="42" customFormat="1" ht="22.5" customHeight="1" spans="1:63">
      <c r="A41" s="47">
        <v>36</v>
      </c>
      <c r="B41" s="77" t="s">
        <v>3271</v>
      </c>
      <c r="C41" s="78" t="s">
        <v>75</v>
      </c>
      <c r="D41" s="78" t="s">
        <v>76</v>
      </c>
      <c r="E41" s="79" t="s">
        <v>1148</v>
      </c>
      <c r="F41" s="80"/>
      <c r="G41" s="79" t="s">
        <v>3272</v>
      </c>
      <c r="H41" s="79" t="s">
        <v>177</v>
      </c>
      <c r="I41" s="82" t="str">
        <f t="shared" si="0"/>
        <v>Sri Wahyuni, S.Pd</v>
      </c>
      <c r="J41" s="141" t="s">
        <v>80</v>
      </c>
      <c r="K41" s="82" t="str">
        <f t="shared" si="10"/>
        <v>Perempuan</v>
      </c>
      <c r="L41" s="142" t="s">
        <v>1775</v>
      </c>
      <c r="M41" s="143">
        <v>34674</v>
      </c>
      <c r="N41" s="144" t="str">
        <f ca="1" t="shared" si="11"/>
        <v>30 Tahun 10 Bulan </v>
      </c>
      <c r="O41" s="145" t="str">
        <f t="shared" si="12"/>
        <v>06 December 1994</v>
      </c>
      <c r="P41" s="146">
        <f ca="1" t="shared" si="13"/>
        <v>30</v>
      </c>
      <c r="Q41" s="146" t="str">
        <f ca="1" t="shared" ref="Q41:Q62" si="15">IF(P41&gt;56,"Lewat","OKE")</f>
        <v>OKE</v>
      </c>
      <c r="R41" s="181" t="s">
        <v>3273</v>
      </c>
      <c r="S41" s="79"/>
      <c r="T41" s="141" t="s">
        <v>3274</v>
      </c>
      <c r="U41" s="145" t="s">
        <v>83</v>
      </c>
      <c r="V41" s="182" t="s">
        <v>2917</v>
      </c>
      <c r="W41" s="79" t="s">
        <v>112</v>
      </c>
      <c r="X41" s="77" t="s">
        <v>3275</v>
      </c>
      <c r="Y41" s="141">
        <v>1</v>
      </c>
      <c r="Z41" s="141">
        <v>0</v>
      </c>
      <c r="AA41" s="141" t="s">
        <v>156</v>
      </c>
      <c r="AB41" s="79" t="s">
        <v>450</v>
      </c>
      <c r="AC41" s="141">
        <v>77313</v>
      </c>
      <c r="AD41" s="77" t="s">
        <v>399</v>
      </c>
      <c r="AE41" s="79"/>
      <c r="AF41" s="79" t="s">
        <v>3276</v>
      </c>
      <c r="AG41" s="232" t="s">
        <v>3277</v>
      </c>
      <c r="AH41" s="233" t="s">
        <v>156</v>
      </c>
      <c r="AI41" s="233" t="s">
        <v>156</v>
      </c>
      <c r="AJ41" s="182" t="s">
        <v>3271</v>
      </c>
      <c r="AK41" s="234">
        <v>42371</v>
      </c>
      <c r="AL41" s="235" t="str">
        <f ca="1" t="shared" si="4"/>
        <v>9 Tahun 10 Bulan </v>
      </c>
      <c r="AM41" s="77" t="s">
        <v>92</v>
      </c>
      <c r="AN41" s="82" t="s">
        <v>2922</v>
      </c>
      <c r="AO41" s="77" t="s">
        <v>3260</v>
      </c>
      <c r="AP41" s="147" t="s">
        <v>297</v>
      </c>
      <c r="AQ41" s="147" t="s">
        <v>156</v>
      </c>
      <c r="AR41" s="147" t="s">
        <v>156</v>
      </c>
      <c r="AS41" s="147" t="s">
        <v>156</v>
      </c>
      <c r="AT41" s="258" t="s">
        <v>156</v>
      </c>
      <c r="AU41" s="258" t="s">
        <v>156</v>
      </c>
      <c r="AV41" s="147" t="s">
        <v>156</v>
      </c>
      <c r="AW41" s="275" t="s">
        <v>100</v>
      </c>
      <c r="AX41" s="275" t="s">
        <v>101</v>
      </c>
      <c r="AY41" s="81" t="s">
        <v>2648</v>
      </c>
      <c r="AZ41" s="258" t="s">
        <v>156</v>
      </c>
      <c r="BA41" s="258" t="s">
        <v>156</v>
      </c>
      <c r="BB41" s="77" t="s">
        <v>235</v>
      </c>
      <c r="BC41" s="77" t="s">
        <v>3278</v>
      </c>
      <c r="BD41" s="258"/>
      <c r="BE41" s="258">
        <v>34</v>
      </c>
      <c r="BF41" s="258">
        <f>BD41+BE41</f>
        <v>34</v>
      </c>
      <c r="BG41" s="77" t="s">
        <v>456</v>
      </c>
      <c r="BH41" s="289" t="s">
        <v>105</v>
      </c>
      <c r="BI41" s="81" t="s">
        <v>1166</v>
      </c>
      <c r="BJ41" s="184" t="s">
        <v>3279</v>
      </c>
      <c r="BK41" s="147" t="s">
        <v>3280</v>
      </c>
    </row>
    <row r="42" s="42" customFormat="1" ht="22.5" customHeight="1" spans="1:63">
      <c r="A42" s="10">
        <v>37</v>
      </c>
      <c r="B42" s="77" t="s">
        <v>3281</v>
      </c>
      <c r="C42" s="78" t="s">
        <v>75</v>
      </c>
      <c r="D42" s="78" t="s">
        <v>76</v>
      </c>
      <c r="E42" s="79" t="s">
        <v>1148</v>
      </c>
      <c r="F42" s="80"/>
      <c r="G42" s="79" t="s">
        <v>3282</v>
      </c>
      <c r="H42" s="79" t="s">
        <v>177</v>
      </c>
      <c r="I42" s="82" t="str">
        <f t="shared" si="0"/>
        <v>Sulis Setiowati, S.Pd</v>
      </c>
      <c r="J42" s="141" t="s">
        <v>80</v>
      </c>
      <c r="K42" s="82" t="str">
        <f t="shared" si="10"/>
        <v>Perempuan</v>
      </c>
      <c r="L42" s="142" t="s">
        <v>3283</v>
      </c>
      <c r="M42" s="143">
        <v>33450</v>
      </c>
      <c r="N42" s="144" t="str">
        <f ca="1" t="shared" si="11"/>
        <v>34 Tahun 3 Bulan </v>
      </c>
      <c r="O42" s="145" t="str">
        <f t="shared" si="12"/>
        <v>31 July 1991</v>
      </c>
      <c r="P42" s="146">
        <f ca="1" t="shared" si="13"/>
        <v>34</v>
      </c>
      <c r="Q42" s="146" t="str">
        <f ca="1" t="shared" si="15"/>
        <v>OKE</v>
      </c>
      <c r="R42" s="181" t="s">
        <v>3284</v>
      </c>
      <c r="S42" s="79"/>
      <c r="T42" s="141" t="s">
        <v>3274</v>
      </c>
      <c r="U42" s="145" t="s">
        <v>83</v>
      </c>
      <c r="V42" s="182" t="s">
        <v>2917</v>
      </c>
      <c r="W42" s="79" t="s">
        <v>112</v>
      </c>
      <c r="X42" s="77" t="s">
        <v>3285</v>
      </c>
      <c r="Y42" s="141">
        <v>13</v>
      </c>
      <c r="Z42" s="141">
        <v>0</v>
      </c>
      <c r="AA42" s="141" t="s">
        <v>156</v>
      </c>
      <c r="AB42" s="79" t="s">
        <v>381</v>
      </c>
      <c r="AC42" s="141">
        <v>77314</v>
      </c>
      <c r="AD42" s="77" t="s">
        <v>292</v>
      </c>
      <c r="AE42" s="79"/>
      <c r="AF42" s="79" t="s">
        <v>3286</v>
      </c>
      <c r="AG42" s="232" t="s">
        <v>3287</v>
      </c>
      <c r="AH42" s="233" t="s">
        <v>156</v>
      </c>
      <c r="AI42" s="233" t="s">
        <v>156</v>
      </c>
      <c r="AJ42" s="182" t="s">
        <v>3281</v>
      </c>
      <c r="AK42" s="234">
        <v>42562</v>
      </c>
      <c r="AL42" s="235" t="str">
        <f ca="1" t="shared" si="4"/>
        <v>9 Tahun 3 Bulan </v>
      </c>
      <c r="AM42" s="77" t="s">
        <v>92</v>
      </c>
      <c r="AN42" s="82" t="s">
        <v>2922</v>
      </c>
      <c r="AO42" s="77" t="s">
        <v>3288</v>
      </c>
      <c r="AP42" s="147" t="s">
        <v>95</v>
      </c>
      <c r="AQ42" s="82"/>
      <c r="AR42" s="147" t="s">
        <v>156</v>
      </c>
      <c r="AS42" s="81" t="s">
        <v>155</v>
      </c>
      <c r="AT42" s="258" t="s">
        <v>156</v>
      </c>
      <c r="AU42" s="258" t="s">
        <v>156</v>
      </c>
      <c r="AV42" s="147" t="s">
        <v>156</v>
      </c>
      <c r="AW42" s="275" t="s">
        <v>100</v>
      </c>
      <c r="AX42" s="275" t="s">
        <v>101</v>
      </c>
      <c r="AY42" s="81" t="s">
        <v>3289</v>
      </c>
      <c r="AZ42" s="258" t="s">
        <v>156</v>
      </c>
      <c r="BA42" s="258" t="s">
        <v>156</v>
      </c>
      <c r="BB42" s="258" t="s">
        <v>156</v>
      </c>
      <c r="BC42" s="77" t="s">
        <v>3290</v>
      </c>
      <c r="BD42" s="258"/>
      <c r="BE42" s="258">
        <v>28</v>
      </c>
      <c r="BF42" s="258">
        <f>BD42+BE42</f>
        <v>28</v>
      </c>
      <c r="BG42" s="77" t="s">
        <v>313</v>
      </c>
      <c r="BH42" s="289" t="s">
        <v>105</v>
      </c>
      <c r="BI42" s="81" t="s">
        <v>1166</v>
      </c>
      <c r="BJ42" s="184" t="s">
        <v>3291</v>
      </c>
      <c r="BK42" s="147" t="s">
        <v>3292</v>
      </c>
    </row>
    <row r="43" s="42" customFormat="1" ht="22.5" customHeight="1" spans="1:63">
      <c r="A43" s="47">
        <v>38</v>
      </c>
      <c r="B43" s="77" t="s">
        <v>3271</v>
      </c>
      <c r="C43" s="78" t="s">
        <v>75</v>
      </c>
      <c r="D43" s="78" t="s">
        <v>76</v>
      </c>
      <c r="E43" s="79" t="s">
        <v>1148</v>
      </c>
      <c r="F43" s="80"/>
      <c r="G43" s="77" t="s">
        <v>3293</v>
      </c>
      <c r="H43" s="79"/>
      <c r="I43" s="81" t="str">
        <f t="shared" si="0"/>
        <v>Rika Wahidatus Solikhah</v>
      </c>
      <c r="J43" s="141" t="s">
        <v>80</v>
      </c>
      <c r="K43" s="82" t="str">
        <f t="shared" si="10"/>
        <v>Perempuan</v>
      </c>
      <c r="L43" s="142" t="s">
        <v>3193</v>
      </c>
      <c r="M43" s="143">
        <v>32166</v>
      </c>
      <c r="N43" s="144" t="str">
        <f ca="1" t="shared" si="11"/>
        <v>37 Tahun 9 Bulan </v>
      </c>
      <c r="O43" s="145" t="str">
        <f t="shared" si="12"/>
        <v>24 January 1988</v>
      </c>
      <c r="P43" s="146">
        <f ca="1" t="shared" si="13"/>
        <v>37</v>
      </c>
      <c r="Q43" s="146" t="str">
        <f ca="1" t="shared" si="15"/>
        <v>OKE</v>
      </c>
      <c r="R43" s="181" t="s">
        <v>3294</v>
      </c>
      <c r="S43" s="79"/>
      <c r="T43" s="141"/>
      <c r="U43" s="182" t="s">
        <v>129</v>
      </c>
      <c r="V43" s="182" t="s">
        <v>2936</v>
      </c>
      <c r="W43" s="79" t="s">
        <v>112</v>
      </c>
      <c r="X43" s="77" t="s">
        <v>3295</v>
      </c>
      <c r="Y43" s="141">
        <v>29</v>
      </c>
      <c r="Z43" s="141">
        <v>0</v>
      </c>
      <c r="AA43" s="141" t="s">
        <v>156</v>
      </c>
      <c r="AB43" s="79" t="s">
        <v>450</v>
      </c>
      <c r="AC43" s="141">
        <v>77371</v>
      </c>
      <c r="AD43" s="77" t="s">
        <v>399</v>
      </c>
      <c r="AE43" s="79"/>
      <c r="AF43" s="594" t="s">
        <v>3296</v>
      </c>
      <c r="AG43" s="236" t="s">
        <v>3297</v>
      </c>
      <c r="AH43" s="233" t="s">
        <v>156</v>
      </c>
      <c r="AI43" s="233" t="s">
        <v>156</v>
      </c>
      <c r="AJ43" s="182" t="s">
        <v>3271</v>
      </c>
      <c r="AK43" s="234">
        <v>42370</v>
      </c>
      <c r="AL43" s="235" t="str">
        <f ca="1" t="shared" si="4"/>
        <v>9 Tahun 10 Bulan </v>
      </c>
      <c r="AM43" s="77" t="s">
        <v>92</v>
      </c>
      <c r="AN43" s="82" t="s">
        <v>2922</v>
      </c>
      <c r="AO43" s="77" t="s">
        <v>3298</v>
      </c>
      <c r="AP43" s="147" t="s">
        <v>95</v>
      </c>
      <c r="AQ43" s="77" t="s">
        <v>3299</v>
      </c>
      <c r="AR43" s="147" t="s">
        <v>156</v>
      </c>
      <c r="AS43" s="81" t="s">
        <v>155</v>
      </c>
      <c r="AT43" s="258" t="s">
        <v>156</v>
      </c>
      <c r="AU43" s="258" t="s">
        <v>156</v>
      </c>
      <c r="AV43" s="147" t="s">
        <v>156</v>
      </c>
      <c r="AW43" s="275" t="s">
        <v>100</v>
      </c>
      <c r="AX43" s="182" t="s">
        <v>120</v>
      </c>
      <c r="AY43" s="82" t="s">
        <v>234</v>
      </c>
      <c r="AZ43" s="258" t="s">
        <v>156</v>
      </c>
      <c r="BA43" s="258" t="s">
        <v>156</v>
      </c>
      <c r="BB43" s="258" t="s">
        <v>156</v>
      </c>
      <c r="BC43" s="258" t="s">
        <v>156</v>
      </c>
      <c r="BD43" s="258" t="s">
        <v>156</v>
      </c>
      <c r="BE43" s="258" t="s">
        <v>156</v>
      </c>
      <c r="BF43" s="258" t="s">
        <v>156</v>
      </c>
      <c r="BG43" s="258" t="s">
        <v>156</v>
      </c>
      <c r="BH43" s="289" t="s">
        <v>105</v>
      </c>
      <c r="BI43" s="81" t="s">
        <v>1166</v>
      </c>
      <c r="BJ43" s="184" t="s">
        <v>3293</v>
      </c>
      <c r="BK43" s="147" t="s">
        <v>3300</v>
      </c>
    </row>
    <row r="44" s="42" customFormat="1" ht="22.5" customHeight="1" spans="1:63">
      <c r="A44" s="10">
        <v>39</v>
      </c>
      <c r="B44" s="81" t="s">
        <v>3301</v>
      </c>
      <c r="C44" s="78" t="s">
        <v>75</v>
      </c>
      <c r="D44" s="78" t="s">
        <v>76</v>
      </c>
      <c r="E44" s="79" t="s">
        <v>1148</v>
      </c>
      <c r="F44" s="80"/>
      <c r="G44" s="82" t="s">
        <v>3302</v>
      </c>
      <c r="H44" s="82"/>
      <c r="I44" s="82" t="str">
        <f t="shared" si="0"/>
        <v>Dody Wijaya</v>
      </c>
      <c r="J44" s="147" t="s">
        <v>127</v>
      </c>
      <c r="K44" s="82" t="str">
        <f t="shared" si="10"/>
        <v>Laki-laki</v>
      </c>
      <c r="L44" s="81" t="s">
        <v>88</v>
      </c>
      <c r="M44" s="148">
        <v>34832</v>
      </c>
      <c r="N44" s="144" t="str">
        <f ca="1" t="shared" si="11"/>
        <v>30 Tahun 5 Bulan </v>
      </c>
      <c r="O44" s="145" t="str">
        <f t="shared" si="12"/>
        <v>13 May 1995</v>
      </c>
      <c r="P44" s="146">
        <f ca="1" t="shared" si="13"/>
        <v>30</v>
      </c>
      <c r="Q44" s="146" t="str">
        <f ca="1" t="shared" si="15"/>
        <v>OKE</v>
      </c>
      <c r="R44" s="670" t="s">
        <v>3303</v>
      </c>
      <c r="S44" s="183"/>
      <c r="T44" s="183"/>
      <c r="U44" s="184" t="s">
        <v>3065</v>
      </c>
      <c r="V44" s="182" t="s">
        <v>2936</v>
      </c>
      <c r="W44" s="79" t="s">
        <v>112</v>
      </c>
      <c r="X44" s="83" t="s">
        <v>3304</v>
      </c>
      <c r="Y44" s="199">
        <v>9</v>
      </c>
      <c r="Z44" s="199">
        <v>0</v>
      </c>
      <c r="AA44" s="80"/>
      <c r="AB44" s="83" t="s">
        <v>88</v>
      </c>
      <c r="AC44" s="199">
        <v>77311</v>
      </c>
      <c r="AD44" s="83" t="s">
        <v>88</v>
      </c>
      <c r="AE44" s="80"/>
      <c r="AF44" s="671" t="s">
        <v>3305</v>
      </c>
      <c r="AG44" s="232" t="s">
        <v>3306</v>
      </c>
      <c r="AH44" s="233" t="s">
        <v>156</v>
      </c>
      <c r="AI44" s="233" t="s">
        <v>156</v>
      </c>
      <c r="AJ44" s="237" t="s">
        <v>3307</v>
      </c>
      <c r="AK44" s="234">
        <v>43009</v>
      </c>
      <c r="AL44" s="235" t="str">
        <f ca="1" t="shared" si="4"/>
        <v>8 Tahun 1 Bulan </v>
      </c>
      <c r="AM44" s="82" t="s">
        <v>92</v>
      </c>
      <c r="AN44" s="82" t="s">
        <v>2922</v>
      </c>
      <c r="AO44" s="82" t="s">
        <v>3308</v>
      </c>
      <c r="AP44" s="147" t="s">
        <v>297</v>
      </c>
      <c r="AQ44" s="147" t="s">
        <v>156</v>
      </c>
      <c r="AR44" s="147" t="s">
        <v>156</v>
      </c>
      <c r="AS44" s="147" t="s">
        <v>156</v>
      </c>
      <c r="AT44" s="258" t="s">
        <v>156</v>
      </c>
      <c r="AU44" s="258" t="s">
        <v>156</v>
      </c>
      <c r="AV44" s="80"/>
      <c r="AW44" s="275" t="s">
        <v>100</v>
      </c>
      <c r="AX44" s="182" t="s">
        <v>120</v>
      </c>
      <c r="AY44" s="81" t="s">
        <v>3309</v>
      </c>
      <c r="AZ44" s="258" t="s">
        <v>156</v>
      </c>
      <c r="BA44" s="258" t="s">
        <v>156</v>
      </c>
      <c r="BB44" s="258" t="s">
        <v>156</v>
      </c>
      <c r="BC44" s="258" t="s">
        <v>156</v>
      </c>
      <c r="BD44" s="258" t="s">
        <v>156</v>
      </c>
      <c r="BE44" s="258" t="s">
        <v>156</v>
      </c>
      <c r="BF44" s="258" t="s">
        <v>156</v>
      </c>
      <c r="BG44" s="258" t="s">
        <v>156</v>
      </c>
      <c r="BH44" s="289" t="s">
        <v>105</v>
      </c>
      <c r="BI44" s="81" t="s">
        <v>1166</v>
      </c>
      <c r="BJ44" s="184" t="s">
        <v>3310</v>
      </c>
      <c r="BK44" s="147" t="s">
        <v>3311</v>
      </c>
    </row>
    <row r="45" s="42" customFormat="1" ht="22.5" customHeight="1" spans="1:63">
      <c r="A45" s="47">
        <v>40</v>
      </c>
      <c r="B45" s="83" t="s">
        <v>3312</v>
      </c>
      <c r="C45" s="78" t="s">
        <v>75</v>
      </c>
      <c r="D45" s="78" t="s">
        <v>76</v>
      </c>
      <c r="E45" s="79" t="s">
        <v>1148</v>
      </c>
      <c r="F45" s="80"/>
      <c r="G45" s="82" t="s">
        <v>3313</v>
      </c>
      <c r="H45" s="82"/>
      <c r="I45" s="82" t="str">
        <f t="shared" si="0"/>
        <v>Sri Widodo</v>
      </c>
      <c r="J45" s="147" t="s">
        <v>127</v>
      </c>
      <c r="K45" s="82" t="str">
        <f t="shared" si="10"/>
        <v>Laki-laki</v>
      </c>
      <c r="L45" s="149" t="s">
        <v>316</v>
      </c>
      <c r="M45" s="148">
        <v>24473</v>
      </c>
      <c r="N45" s="144" t="str">
        <f ca="1" t="shared" si="11"/>
        <v>58 Tahun 10 Bulan </v>
      </c>
      <c r="O45" s="145" t="str">
        <f t="shared" si="12"/>
        <v>01 January 1967</v>
      </c>
      <c r="P45" s="146">
        <f ca="1" t="shared" si="13"/>
        <v>58</v>
      </c>
      <c r="Q45" s="146" t="str">
        <f ca="1" t="shared" si="15"/>
        <v>Lewat</v>
      </c>
      <c r="R45" s="670" t="s">
        <v>3314</v>
      </c>
      <c r="S45" s="183"/>
      <c r="T45" s="183"/>
      <c r="U45" s="184" t="s">
        <v>274</v>
      </c>
      <c r="V45" s="182" t="s">
        <v>2936</v>
      </c>
      <c r="W45" s="79" t="s">
        <v>112</v>
      </c>
      <c r="X45" s="183" t="s">
        <v>3315</v>
      </c>
      <c r="Y45" s="199">
        <v>19</v>
      </c>
      <c r="Z45" s="199">
        <v>0</v>
      </c>
      <c r="AA45" s="183"/>
      <c r="AB45" s="83" t="s">
        <v>88</v>
      </c>
      <c r="AC45" s="199">
        <v>77311</v>
      </c>
      <c r="AD45" s="83" t="s">
        <v>88</v>
      </c>
      <c r="AE45" s="80"/>
      <c r="AF45" s="670" t="s">
        <v>3316</v>
      </c>
      <c r="AG45" s="233" t="s">
        <v>156</v>
      </c>
      <c r="AH45" s="233" t="s">
        <v>156</v>
      </c>
      <c r="AI45" s="233" t="s">
        <v>156</v>
      </c>
      <c r="AJ45" s="237" t="s">
        <v>3312</v>
      </c>
      <c r="AK45" s="234">
        <v>43101</v>
      </c>
      <c r="AL45" s="235" t="str">
        <f ca="1" t="shared" si="4"/>
        <v>7 Tahun 10 Bulan </v>
      </c>
      <c r="AM45" s="82" t="s">
        <v>92</v>
      </c>
      <c r="AN45" s="82" t="s">
        <v>2922</v>
      </c>
      <c r="AO45" s="183" t="s">
        <v>3317</v>
      </c>
      <c r="AP45" s="147" t="s">
        <v>95</v>
      </c>
      <c r="AQ45" s="147" t="s">
        <v>3318</v>
      </c>
      <c r="AR45" s="147" t="s">
        <v>156</v>
      </c>
      <c r="AS45" s="147" t="s">
        <v>941</v>
      </c>
      <c r="AT45" s="258" t="s">
        <v>156</v>
      </c>
      <c r="AU45" s="258" t="s">
        <v>156</v>
      </c>
      <c r="AV45" s="259" t="s">
        <v>156</v>
      </c>
      <c r="AW45" s="275" t="s">
        <v>100</v>
      </c>
      <c r="AX45" s="182" t="s">
        <v>120</v>
      </c>
      <c r="AY45" s="81" t="s">
        <v>3319</v>
      </c>
      <c r="AZ45" s="276" t="s">
        <v>156</v>
      </c>
      <c r="BA45" s="258" t="s">
        <v>156</v>
      </c>
      <c r="BB45" s="258" t="s">
        <v>156</v>
      </c>
      <c r="BC45" s="258" t="s">
        <v>156</v>
      </c>
      <c r="BD45" s="258" t="s">
        <v>156</v>
      </c>
      <c r="BE45" s="258" t="s">
        <v>156</v>
      </c>
      <c r="BF45" s="258" t="s">
        <v>156</v>
      </c>
      <c r="BG45" s="258" t="s">
        <v>156</v>
      </c>
      <c r="BH45" s="183" t="s">
        <v>105</v>
      </c>
      <c r="BI45" s="77" t="s">
        <v>88</v>
      </c>
      <c r="BJ45" s="83" t="s">
        <v>3313</v>
      </c>
      <c r="BK45" s="672" t="s">
        <v>3320</v>
      </c>
    </row>
    <row r="46" spans="1:63">
      <c r="A46" s="10">
        <v>41</v>
      </c>
      <c r="B46" s="58"/>
      <c r="C46" s="50" t="s">
        <v>658</v>
      </c>
      <c r="D46" s="50" t="s">
        <v>76</v>
      </c>
      <c r="E46" s="50" t="s">
        <v>1307</v>
      </c>
      <c r="F46" s="53"/>
      <c r="G46" s="50" t="s">
        <v>3321</v>
      </c>
      <c r="H46" s="50"/>
      <c r="I46" s="50" t="str">
        <f t="shared" si="0"/>
        <v>Abd Halid Hamzah</v>
      </c>
      <c r="J46" s="50" t="s">
        <v>127</v>
      </c>
      <c r="K46" s="82" t="str">
        <f t="shared" si="10"/>
        <v>Laki-laki</v>
      </c>
      <c r="L46" s="54" t="s">
        <v>3322</v>
      </c>
      <c r="M46" s="122">
        <v>26751</v>
      </c>
      <c r="N46" s="119" t="str">
        <f ca="1" t="shared" si="11"/>
        <v>52 Tahun 7 Bulan </v>
      </c>
      <c r="O46" s="120">
        <v>26751</v>
      </c>
      <c r="P46" s="146">
        <f ca="1" t="shared" si="13"/>
        <v>52</v>
      </c>
      <c r="Q46" s="146" t="str">
        <f ca="1" t="shared" si="15"/>
        <v>OKE</v>
      </c>
      <c r="R46" s="597" t="s">
        <v>3323</v>
      </c>
      <c r="S46" s="558" t="s">
        <v>156</v>
      </c>
      <c r="T46" s="560" t="s">
        <v>156</v>
      </c>
      <c r="U46" s="50" t="s">
        <v>750</v>
      </c>
      <c r="V46" s="50" t="s">
        <v>2936</v>
      </c>
      <c r="W46" s="50" t="s">
        <v>112</v>
      </c>
      <c r="X46" s="53" t="s">
        <v>1314</v>
      </c>
      <c r="Y46" s="557" t="s">
        <v>1356</v>
      </c>
      <c r="Z46" s="53"/>
      <c r="AA46" s="53"/>
      <c r="AB46" s="50" t="s">
        <v>1314</v>
      </c>
      <c r="AC46" s="54">
        <v>77373</v>
      </c>
      <c r="AD46" s="54" t="s">
        <v>1315</v>
      </c>
      <c r="AE46" s="53"/>
      <c r="AF46" s="562" t="s">
        <v>3324</v>
      </c>
      <c r="AG46" s="673" t="s">
        <v>156</v>
      </c>
      <c r="AH46" s="53"/>
      <c r="AI46" s="53"/>
      <c r="AJ46" s="54" t="s">
        <v>3325</v>
      </c>
      <c r="AK46" s="239">
        <v>42741</v>
      </c>
      <c r="AL46" s="235" t="str">
        <f ca="1" t="shared" si="4"/>
        <v>8 Tahun 9 Bulan </v>
      </c>
      <c r="AM46" s="50" t="s">
        <v>92</v>
      </c>
      <c r="AN46" s="50" t="s">
        <v>2922</v>
      </c>
      <c r="AO46" s="54" t="s">
        <v>2140</v>
      </c>
      <c r="AP46" s="185" t="s">
        <v>838</v>
      </c>
      <c r="AQ46" s="50" t="s">
        <v>3326</v>
      </c>
      <c r="AR46" s="558" t="s">
        <v>3327</v>
      </c>
      <c r="AS46" s="50" t="s">
        <v>98</v>
      </c>
      <c r="AT46" s="53"/>
      <c r="AU46" s="50"/>
      <c r="AV46" s="50" t="s">
        <v>3328</v>
      </c>
      <c r="AW46" s="50" t="s">
        <v>100</v>
      </c>
      <c r="AX46" s="50" t="s">
        <v>120</v>
      </c>
      <c r="AY46" s="50" t="s">
        <v>3329</v>
      </c>
      <c r="AZ46" s="53"/>
      <c r="BA46" s="53"/>
      <c r="BB46" s="54"/>
      <c r="BC46" s="54"/>
      <c r="BD46" s="54"/>
      <c r="BE46" s="54"/>
      <c r="BF46" s="54"/>
      <c r="BG46" s="54"/>
      <c r="BH46" s="54" t="s">
        <v>105</v>
      </c>
      <c r="BI46" s="54" t="s">
        <v>1314</v>
      </c>
      <c r="BJ46" s="54" t="s">
        <v>3321</v>
      </c>
      <c r="BK46" s="597" t="s">
        <v>3330</v>
      </c>
    </row>
    <row r="47" spans="1:63">
      <c r="A47" s="47">
        <v>42</v>
      </c>
      <c r="B47" s="58"/>
      <c r="C47" s="50" t="s">
        <v>658</v>
      </c>
      <c r="D47" s="50" t="s">
        <v>76</v>
      </c>
      <c r="E47" s="50" t="s">
        <v>1307</v>
      </c>
      <c r="F47" s="53"/>
      <c r="G47" s="50" t="s">
        <v>3331</v>
      </c>
      <c r="H47" s="50" t="s">
        <v>1309</v>
      </c>
      <c r="I47" s="50" t="str">
        <f t="shared" si="0"/>
        <v>Hendra Sulfarianur, S. Pd</v>
      </c>
      <c r="J47" s="50" t="s">
        <v>127</v>
      </c>
      <c r="K47" s="82" t="str">
        <f t="shared" si="10"/>
        <v>Laki-laki</v>
      </c>
      <c r="L47" s="50" t="s">
        <v>1791</v>
      </c>
      <c r="M47" s="122">
        <v>34837</v>
      </c>
      <c r="N47" s="119" t="str">
        <f ca="1" t="shared" si="11"/>
        <v>30 Tahun 5 Bulan </v>
      </c>
      <c r="O47" s="120" t="str">
        <f t="shared" ref="O47:O48" si="16">TEXT(M47,"DD MMMM YYYY")</f>
        <v>18 May 1995</v>
      </c>
      <c r="P47" s="146">
        <f ca="1" t="shared" si="13"/>
        <v>30</v>
      </c>
      <c r="Q47" s="146" t="str">
        <f ca="1" t="shared" si="15"/>
        <v>OKE</v>
      </c>
      <c r="R47" s="576" t="s">
        <v>3332</v>
      </c>
      <c r="S47" s="558" t="s">
        <v>156</v>
      </c>
      <c r="T47" s="558" t="s">
        <v>156</v>
      </c>
      <c r="U47" s="52" t="s">
        <v>83</v>
      </c>
      <c r="V47" s="50" t="s">
        <v>2917</v>
      </c>
      <c r="W47" s="50" t="s">
        <v>112</v>
      </c>
      <c r="X47" s="53" t="s">
        <v>1791</v>
      </c>
      <c r="Y47" s="558" t="s">
        <v>1356</v>
      </c>
      <c r="Z47" s="53"/>
      <c r="AA47" s="53"/>
      <c r="AB47" s="50" t="s">
        <v>1791</v>
      </c>
      <c r="AC47" s="36">
        <v>77373</v>
      </c>
      <c r="AD47" s="50" t="s">
        <v>1315</v>
      </c>
      <c r="AE47" s="53"/>
      <c r="AF47" s="652" t="s">
        <v>3333</v>
      </c>
      <c r="AG47" s="240" t="s">
        <v>3334</v>
      </c>
      <c r="AH47" s="53"/>
      <c r="AI47" s="53"/>
      <c r="AJ47" s="50" t="s">
        <v>3335</v>
      </c>
      <c r="AK47" s="241">
        <v>43101</v>
      </c>
      <c r="AL47" s="235" t="str">
        <f ca="1" t="shared" si="4"/>
        <v>7 Tahun 10 Bulan </v>
      </c>
      <c r="AM47" s="50" t="s">
        <v>92</v>
      </c>
      <c r="AN47" s="50" t="s">
        <v>2922</v>
      </c>
      <c r="AO47" s="50" t="s">
        <v>3336</v>
      </c>
      <c r="AP47" s="36" t="s">
        <v>1659</v>
      </c>
      <c r="AQ47" s="557" t="s">
        <v>156</v>
      </c>
      <c r="AR47" s="558" t="s">
        <v>156</v>
      </c>
      <c r="AS47" s="557" t="s">
        <v>156</v>
      </c>
      <c r="AT47" s="558" t="s">
        <v>156</v>
      </c>
      <c r="AU47" s="50"/>
      <c r="AV47" s="53"/>
      <c r="AW47" s="50" t="s">
        <v>100</v>
      </c>
      <c r="AX47" s="50" t="s">
        <v>101</v>
      </c>
      <c r="AY47" s="50" t="s">
        <v>1828</v>
      </c>
      <c r="AZ47" s="53"/>
      <c r="BA47" s="53"/>
      <c r="BB47" s="50" t="s">
        <v>3337</v>
      </c>
      <c r="BC47" s="53" t="s">
        <v>3338</v>
      </c>
      <c r="BD47" s="53">
        <v>12</v>
      </c>
      <c r="BE47" s="53">
        <v>17</v>
      </c>
      <c r="BF47" s="53">
        <v>29</v>
      </c>
      <c r="BG47" s="53"/>
      <c r="BH47" s="53" t="s">
        <v>105</v>
      </c>
      <c r="BI47" s="50" t="s">
        <v>1314</v>
      </c>
      <c r="BJ47" s="53" t="s">
        <v>3331</v>
      </c>
      <c r="BK47" s="576" t="s">
        <v>3339</v>
      </c>
    </row>
    <row r="48" spans="1:63">
      <c r="A48" s="10">
        <v>43</v>
      </c>
      <c r="B48" s="58"/>
      <c r="C48" s="50" t="s">
        <v>658</v>
      </c>
      <c r="D48" s="50" t="s">
        <v>76</v>
      </c>
      <c r="E48" s="50" t="s">
        <v>1307</v>
      </c>
      <c r="F48" s="53"/>
      <c r="G48" s="50" t="s">
        <v>3340</v>
      </c>
      <c r="H48" s="50" t="s">
        <v>1309</v>
      </c>
      <c r="I48" s="50" t="str">
        <f t="shared" si="0"/>
        <v>Noor Hasanah, S. Pd</v>
      </c>
      <c r="J48" s="50" t="s">
        <v>127</v>
      </c>
      <c r="K48" s="82" t="str">
        <f t="shared" si="10"/>
        <v>Laki-laki</v>
      </c>
      <c r="L48" s="50" t="s">
        <v>3341</v>
      </c>
      <c r="M48" s="122">
        <v>34044</v>
      </c>
      <c r="N48" s="119" t="str">
        <f ca="1" t="shared" si="11"/>
        <v>32 Tahun 7 Bulan </v>
      </c>
      <c r="O48" s="120" t="str">
        <f t="shared" si="16"/>
        <v>16 March 1993</v>
      </c>
      <c r="P48" s="146">
        <f ca="1" t="shared" si="13"/>
        <v>32</v>
      </c>
      <c r="Q48" s="146" t="str">
        <f ca="1" t="shared" si="15"/>
        <v>OKE</v>
      </c>
      <c r="R48" s="576" t="s">
        <v>3342</v>
      </c>
      <c r="S48" s="558" t="s">
        <v>156</v>
      </c>
      <c r="T48" s="558" t="s">
        <v>156</v>
      </c>
      <c r="U48" s="50" t="s">
        <v>83</v>
      </c>
      <c r="V48" s="50" t="s">
        <v>2917</v>
      </c>
      <c r="W48" s="50" t="s">
        <v>112</v>
      </c>
      <c r="X48" s="53" t="s">
        <v>3343</v>
      </c>
      <c r="Y48" s="558" t="s">
        <v>1356</v>
      </c>
      <c r="Z48" s="53"/>
      <c r="AA48" s="53"/>
      <c r="AB48" s="50" t="s">
        <v>3341</v>
      </c>
      <c r="AC48" s="36">
        <v>77373</v>
      </c>
      <c r="AD48" s="50" t="s">
        <v>1315</v>
      </c>
      <c r="AE48" s="53"/>
      <c r="AF48" s="652" t="s">
        <v>3344</v>
      </c>
      <c r="AG48" s="240"/>
      <c r="AH48" s="53"/>
      <c r="AI48" s="53"/>
      <c r="AJ48" s="557" t="s">
        <v>3345</v>
      </c>
      <c r="AK48" s="50" t="s">
        <v>3346</v>
      </c>
      <c r="AL48" s="235" t="str">
        <f ca="1" t="shared" si="4"/>
        <v>9 Tahun 8 Bulan </v>
      </c>
      <c r="AM48" s="50" t="s">
        <v>92</v>
      </c>
      <c r="AN48" s="50" t="s">
        <v>2922</v>
      </c>
      <c r="AO48" s="50" t="s">
        <v>3347</v>
      </c>
      <c r="AP48" s="36" t="s">
        <v>838</v>
      </c>
      <c r="AQ48" s="50" t="s">
        <v>3348</v>
      </c>
      <c r="AR48" s="558" t="s">
        <v>156</v>
      </c>
      <c r="AS48" s="50" t="s">
        <v>2512</v>
      </c>
      <c r="AT48" s="558" t="s">
        <v>156</v>
      </c>
      <c r="AU48" s="50"/>
      <c r="AV48" s="53"/>
      <c r="AW48" s="50" t="s">
        <v>100</v>
      </c>
      <c r="AX48" s="50" t="s">
        <v>101</v>
      </c>
      <c r="AY48" s="50" t="s">
        <v>619</v>
      </c>
      <c r="AZ48" s="53"/>
      <c r="BA48" s="53"/>
      <c r="BB48" s="50"/>
      <c r="BC48" s="53" t="s">
        <v>686</v>
      </c>
      <c r="BD48" s="53"/>
      <c r="BE48" s="53">
        <v>19</v>
      </c>
      <c r="BF48" s="53">
        <v>19</v>
      </c>
      <c r="BG48" s="53"/>
      <c r="BH48" s="53" t="s">
        <v>105</v>
      </c>
      <c r="BI48" s="50" t="s">
        <v>1314</v>
      </c>
      <c r="BJ48" s="53" t="s">
        <v>3340</v>
      </c>
      <c r="BK48" s="576" t="s">
        <v>3349</v>
      </c>
    </row>
    <row r="49" s="43" customFormat="1" ht="31.5" customHeight="1" spans="1:63">
      <c r="A49" s="47">
        <v>44</v>
      </c>
      <c r="B49" s="62"/>
      <c r="C49" s="62" t="s">
        <v>1536</v>
      </c>
      <c r="D49" s="62" t="s">
        <v>76</v>
      </c>
      <c r="E49" s="62" t="s">
        <v>1537</v>
      </c>
      <c r="F49" s="62"/>
      <c r="G49" s="62" t="s">
        <v>3350</v>
      </c>
      <c r="H49" s="62" t="s">
        <v>177</v>
      </c>
      <c r="I49" s="113" t="str">
        <f t="shared" si="0"/>
        <v>Anis Marsela, S.Pd</v>
      </c>
      <c r="J49" s="62" t="s">
        <v>80</v>
      </c>
      <c r="K49" s="102" t="str">
        <f t="shared" si="10"/>
        <v>Perempuan</v>
      </c>
      <c r="L49" s="62" t="s">
        <v>1536</v>
      </c>
      <c r="M49" s="150">
        <v>34947</v>
      </c>
      <c r="N49" s="115" t="str">
        <f ca="1" t="shared" si="11"/>
        <v>30 Tahun 1 Bulan </v>
      </c>
      <c r="O49" s="150">
        <v>34947</v>
      </c>
      <c r="P49" s="105">
        <f ca="1" t="shared" si="13"/>
        <v>30</v>
      </c>
      <c r="Q49" s="105" t="str">
        <f ca="1" t="shared" si="15"/>
        <v>OKE</v>
      </c>
      <c r="R49" s="567" t="s">
        <v>3351</v>
      </c>
      <c r="S49" s="62"/>
      <c r="T49" s="62"/>
      <c r="U49" s="62" t="s">
        <v>83</v>
      </c>
      <c r="V49" s="62" t="s">
        <v>2917</v>
      </c>
      <c r="W49" s="62" t="s">
        <v>3352</v>
      </c>
      <c r="X49" s="62" t="s">
        <v>3353</v>
      </c>
      <c r="Y49" s="62">
        <v>3</v>
      </c>
      <c r="Z49" s="62"/>
      <c r="AA49" s="62" t="s">
        <v>3353</v>
      </c>
      <c r="AB49" s="62" t="s">
        <v>3353</v>
      </c>
      <c r="AC49" s="51">
        <v>77381</v>
      </c>
      <c r="AD49" s="62" t="s">
        <v>1544</v>
      </c>
      <c r="AE49" s="62"/>
      <c r="AF49" s="62">
        <v>82149150004</v>
      </c>
      <c r="AG49" s="242" t="s">
        <v>3354</v>
      </c>
      <c r="AH49" s="62"/>
      <c r="AI49" s="62"/>
      <c r="AJ49" s="62" t="s">
        <v>3355</v>
      </c>
      <c r="AK49" s="150">
        <v>43101</v>
      </c>
      <c r="AL49" s="115" t="str">
        <f ca="1" t="shared" si="4"/>
        <v>7 Tahun 10 Bulan </v>
      </c>
      <c r="AM49" s="62" t="s">
        <v>92</v>
      </c>
      <c r="AN49" s="62" t="s">
        <v>2922</v>
      </c>
      <c r="AO49" s="62" t="s">
        <v>3356</v>
      </c>
      <c r="AP49" s="51" t="s">
        <v>1659</v>
      </c>
      <c r="AQ49" s="62"/>
      <c r="AR49" s="62"/>
      <c r="AS49" s="62"/>
      <c r="AT49" s="62"/>
      <c r="AU49" s="62"/>
      <c r="AV49" s="62"/>
      <c r="AW49" s="62" t="s">
        <v>100</v>
      </c>
      <c r="AX49" s="62" t="s">
        <v>101</v>
      </c>
      <c r="AY49" s="62" t="s">
        <v>1718</v>
      </c>
      <c r="AZ49" s="62"/>
      <c r="BA49" s="62"/>
      <c r="BB49" s="62"/>
      <c r="BC49" s="62" t="s">
        <v>3357</v>
      </c>
      <c r="BD49" s="62"/>
      <c r="BE49" s="62">
        <v>12</v>
      </c>
      <c r="BF49" s="62">
        <v>12</v>
      </c>
      <c r="BG49" s="62" t="s">
        <v>1718</v>
      </c>
      <c r="BH49" s="51"/>
      <c r="BI49" s="51"/>
      <c r="BJ49" s="62"/>
      <c r="BK49" s="62"/>
    </row>
    <row r="50" s="44" customFormat="1" ht="22.5" customHeight="1" spans="1:63">
      <c r="A50" s="10">
        <v>45</v>
      </c>
      <c r="B50" s="84">
        <v>231</v>
      </c>
      <c r="C50" s="85" t="s">
        <v>75</v>
      </c>
      <c r="D50" s="85" t="s">
        <v>76</v>
      </c>
      <c r="E50" s="85" t="s">
        <v>1738</v>
      </c>
      <c r="F50" s="48"/>
      <c r="G50" s="86" t="s">
        <v>3358</v>
      </c>
      <c r="H50" s="86" t="s">
        <v>1756</v>
      </c>
      <c r="I50" s="113" t="str">
        <f t="shared" si="0"/>
        <v>AGUS FADILAH, S.Pd  </v>
      </c>
      <c r="J50" s="151" t="s">
        <v>127</v>
      </c>
      <c r="K50" s="102" t="str">
        <f t="shared" si="10"/>
        <v>Laki-laki</v>
      </c>
      <c r="L50" s="151" t="s">
        <v>1536</v>
      </c>
      <c r="M50" s="86" t="s">
        <v>3359</v>
      </c>
      <c r="N50" s="115" t="str">
        <f ca="1" t="shared" si="11"/>
        <v>30 Tahun 2 Bulan </v>
      </c>
      <c r="O50" s="85" t="s">
        <v>3360</v>
      </c>
      <c r="P50" s="105" t="e">
        <f ca="1" t="shared" si="13"/>
        <v>#VALUE!</v>
      </c>
      <c r="Q50" s="105" t="e">
        <f ca="1" t="shared" si="15"/>
        <v>#VALUE!</v>
      </c>
      <c r="R50" s="86" t="s">
        <v>3361</v>
      </c>
      <c r="S50" s="86"/>
      <c r="T50" s="151" t="s">
        <v>3274</v>
      </c>
      <c r="U50" s="86" t="s">
        <v>83</v>
      </c>
      <c r="V50" s="86" t="s">
        <v>2917</v>
      </c>
      <c r="W50" s="86" t="s">
        <v>112</v>
      </c>
      <c r="X50" s="86" t="s">
        <v>783</v>
      </c>
      <c r="Y50" s="151">
        <v>2</v>
      </c>
      <c r="Z50" s="151"/>
      <c r="AA50" s="86"/>
      <c r="AB50" s="86" t="s">
        <v>1885</v>
      </c>
      <c r="AC50" s="86">
        <v>77375</v>
      </c>
      <c r="AD50" s="86" t="s">
        <v>1763</v>
      </c>
      <c r="AE50" s="48"/>
      <c r="AF50" s="608" t="s">
        <v>3362</v>
      </c>
      <c r="AG50" s="211" t="s">
        <v>3363</v>
      </c>
      <c r="AH50" s="86"/>
      <c r="AI50" s="86"/>
      <c r="AJ50" s="86" t="s">
        <v>3364</v>
      </c>
      <c r="AK50" s="608" t="s">
        <v>3365</v>
      </c>
      <c r="AL50" s="115" t="str">
        <f ca="1" t="shared" si="4"/>
        <v>8 Tahun 10 Bulan </v>
      </c>
      <c r="AM50" s="86" t="s">
        <v>92</v>
      </c>
      <c r="AN50" s="86" t="s">
        <v>2922</v>
      </c>
      <c r="AO50" s="86" t="s">
        <v>522</v>
      </c>
      <c r="AP50" s="86" t="s">
        <v>297</v>
      </c>
      <c r="AQ50" s="86"/>
      <c r="AR50" s="86"/>
      <c r="AS50" s="86" t="s">
        <v>3366</v>
      </c>
      <c r="AT50" s="48"/>
      <c r="AU50" s="86" t="s">
        <v>298</v>
      </c>
      <c r="AV50" s="608" t="s">
        <v>3367</v>
      </c>
      <c r="AW50" s="85" t="s">
        <v>100</v>
      </c>
      <c r="AX50" s="85" t="s">
        <v>101</v>
      </c>
      <c r="AY50" s="86" t="s">
        <v>917</v>
      </c>
      <c r="AZ50" s="48"/>
      <c r="BA50" s="48"/>
      <c r="BB50" s="85"/>
      <c r="BC50" s="86" t="s">
        <v>3368</v>
      </c>
      <c r="BD50" s="48"/>
      <c r="BE50" s="86">
        <v>19</v>
      </c>
      <c r="BF50" s="86">
        <v>19</v>
      </c>
      <c r="BG50" s="86" t="s">
        <v>917</v>
      </c>
      <c r="BH50" s="48" t="s">
        <v>526</v>
      </c>
      <c r="BI50" s="86" t="s">
        <v>1772</v>
      </c>
      <c r="BJ50" s="86" t="s">
        <v>3358</v>
      </c>
      <c r="BK50" s="613" t="s">
        <v>3369</v>
      </c>
    </row>
    <row r="51" s="44" customFormat="1" ht="22.5" customHeight="1" spans="1:63">
      <c r="A51" s="47">
        <v>46</v>
      </c>
      <c r="B51" s="84">
        <v>232</v>
      </c>
      <c r="C51" s="85" t="s">
        <v>75</v>
      </c>
      <c r="D51" s="85" t="s">
        <v>76</v>
      </c>
      <c r="E51" s="85" t="s">
        <v>1738</v>
      </c>
      <c r="F51" s="48"/>
      <c r="G51" s="86" t="s">
        <v>3370</v>
      </c>
      <c r="H51" s="86" t="s">
        <v>1328</v>
      </c>
      <c r="I51" s="113" t="str">
        <f t="shared" si="0"/>
        <v>Haniva Fitra, S.Pd.I</v>
      </c>
      <c r="J51" s="151" t="s">
        <v>80</v>
      </c>
      <c r="K51" s="102" t="str">
        <f t="shared" si="10"/>
        <v>Perempuan</v>
      </c>
      <c r="L51" s="151" t="s">
        <v>1151</v>
      </c>
      <c r="M51" s="86" t="s">
        <v>3371</v>
      </c>
      <c r="N51" s="115" t="str">
        <f ca="1" t="shared" si="11"/>
        <v>35 Tahun 1 Bulan </v>
      </c>
      <c r="O51" s="611" t="s">
        <v>3372</v>
      </c>
      <c r="P51" s="105">
        <f ca="1" t="shared" si="13"/>
        <v>35</v>
      </c>
      <c r="Q51" s="105" t="str">
        <f ca="1" t="shared" si="15"/>
        <v>OKE</v>
      </c>
      <c r="R51" s="86" t="s">
        <v>3373</v>
      </c>
      <c r="S51" s="86"/>
      <c r="T51" s="48"/>
      <c r="U51" s="86" t="s">
        <v>3374</v>
      </c>
      <c r="V51" s="86" t="s">
        <v>2936</v>
      </c>
      <c r="W51" s="85" t="s">
        <v>112</v>
      </c>
      <c r="X51" s="86" t="s">
        <v>3375</v>
      </c>
      <c r="Y51" s="151">
        <v>1</v>
      </c>
      <c r="Z51" s="84"/>
      <c r="AA51" s="48"/>
      <c r="AB51" s="86" t="s">
        <v>2380</v>
      </c>
      <c r="AC51" s="86">
        <v>77375</v>
      </c>
      <c r="AD51" s="86" t="s">
        <v>1763</v>
      </c>
      <c r="AE51" s="48"/>
      <c r="AF51" s="86" t="s">
        <v>3376</v>
      </c>
      <c r="AG51" s="86" t="s">
        <v>3377</v>
      </c>
      <c r="AH51" s="48"/>
      <c r="AI51" s="48"/>
      <c r="AJ51" s="86" t="s">
        <v>3378</v>
      </c>
      <c r="AK51" s="608" t="s">
        <v>3365</v>
      </c>
      <c r="AL51" s="115" t="str">
        <f ca="1" t="shared" si="4"/>
        <v>8 Tahun 10 Bulan </v>
      </c>
      <c r="AM51" s="86" t="s">
        <v>92</v>
      </c>
      <c r="AN51" s="86" t="s">
        <v>2922</v>
      </c>
      <c r="AO51" s="86" t="s">
        <v>3379</v>
      </c>
      <c r="AP51" s="86" t="s">
        <v>95</v>
      </c>
      <c r="AQ51" s="85"/>
      <c r="AR51" s="48"/>
      <c r="AS51" s="86" t="s">
        <v>387</v>
      </c>
      <c r="AT51" s="48"/>
      <c r="AU51" s="86" t="s">
        <v>298</v>
      </c>
      <c r="AV51" s="674" t="s">
        <v>3380</v>
      </c>
      <c r="AW51" s="85" t="s">
        <v>100</v>
      </c>
      <c r="AX51" s="85" t="s">
        <v>101</v>
      </c>
      <c r="AY51" s="85" t="s">
        <v>606</v>
      </c>
      <c r="AZ51" s="48"/>
      <c r="BA51" s="48"/>
      <c r="BB51" s="85"/>
      <c r="BC51" s="48"/>
      <c r="BD51" s="48"/>
      <c r="BE51" s="48"/>
      <c r="BF51" s="48"/>
      <c r="BG51" s="48" t="s">
        <v>606</v>
      </c>
      <c r="BH51" s="48" t="s">
        <v>526</v>
      </c>
      <c r="BI51" s="86" t="s">
        <v>1772</v>
      </c>
      <c r="BJ51" s="86" t="s">
        <v>3370</v>
      </c>
      <c r="BK51" s="613" t="s">
        <v>3381</v>
      </c>
    </row>
    <row r="52" spans="1:63">
      <c r="A52" s="10">
        <v>47</v>
      </c>
      <c r="B52" s="54"/>
      <c r="C52" s="54" t="s">
        <v>509</v>
      </c>
      <c r="D52" s="52" t="s">
        <v>76</v>
      </c>
      <c r="E52" s="54" t="s">
        <v>1904</v>
      </c>
      <c r="F52" s="54"/>
      <c r="G52" s="54" t="s">
        <v>3382</v>
      </c>
      <c r="H52" s="54" t="s">
        <v>1150</v>
      </c>
      <c r="I52" s="102" t="str">
        <f t="shared" si="0"/>
        <v>Dwi Susilawaty, S.Psi</v>
      </c>
      <c r="J52" s="54" t="s">
        <v>80</v>
      </c>
      <c r="K52" s="102" t="str">
        <f t="shared" si="10"/>
        <v>Perempuan</v>
      </c>
      <c r="L52" s="153" t="s">
        <v>3383</v>
      </c>
      <c r="M52" s="675" t="s">
        <v>3384</v>
      </c>
      <c r="N52" s="155" t="str">
        <f ca="1" t="shared" si="11"/>
        <v>33 Tahun 0 Bulan </v>
      </c>
      <c r="O52" s="676" t="s">
        <v>3385</v>
      </c>
      <c r="P52" s="105" t="e">
        <f ca="1" t="shared" si="13"/>
        <v>#VALUE!</v>
      </c>
      <c r="Q52" s="105" t="e">
        <f ca="1" t="shared" si="15"/>
        <v>#VALUE!</v>
      </c>
      <c r="R52" s="560" t="s">
        <v>3386</v>
      </c>
      <c r="S52" s="54"/>
      <c r="T52" s="54"/>
      <c r="U52" s="54" t="s">
        <v>83</v>
      </c>
      <c r="V52" s="54" t="s">
        <v>3387</v>
      </c>
      <c r="W52" s="52" t="s">
        <v>112</v>
      </c>
      <c r="X52" s="186" t="s">
        <v>1927</v>
      </c>
      <c r="Y52" s="200" t="s">
        <v>156</v>
      </c>
      <c r="Z52" s="200" t="s">
        <v>156</v>
      </c>
      <c r="AA52" s="200" t="s">
        <v>156</v>
      </c>
      <c r="AB52" s="54" t="s">
        <v>518</v>
      </c>
      <c r="AC52" s="194">
        <v>77372</v>
      </c>
      <c r="AD52" s="194" t="s">
        <v>518</v>
      </c>
      <c r="AE52" s="54"/>
      <c r="AF52" s="617" t="s">
        <v>3388</v>
      </c>
      <c r="AG52" s="243" t="s">
        <v>3389</v>
      </c>
      <c r="AH52" s="54"/>
      <c r="AI52" s="54"/>
      <c r="AJ52" s="244" t="s">
        <v>3390</v>
      </c>
      <c r="AK52" s="677" t="s">
        <v>3010</v>
      </c>
      <c r="AL52" s="155" t="str">
        <f ca="1" t="shared" si="4"/>
        <v>7 Tahun 10 Bulan </v>
      </c>
      <c r="AM52" s="54" t="s">
        <v>92</v>
      </c>
      <c r="AN52" s="54" t="s">
        <v>2922</v>
      </c>
      <c r="AO52" s="186" t="s">
        <v>3391</v>
      </c>
      <c r="AP52" s="260" t="s">
        <v>1659</v>
      </c>
      <c r="AQ52" s="186"/>
      <c r="AR52" s="54"/>
      <c r="AS52" s="186"/>
      <c r="AT52" s="54"/>
      <c r="AU52" s="54"/>
      <c r="AV52" s="616" t="s">
        <v>3392</v>
      </c>
      <c r="AW52" s="52" t="s">
        <v>100</v>
      </c>
      <c r="AX52" s="277" t="s">
        <v>101</v>
      </c>
      <c r="AY52" s="278" t="s">
        <v>1163</v>
      </c>
      <c r="AZ52" s="54"/>
      <c r="BA52" s="54"/>
      <c r="BB52" s="54"/>
      <c r="BC52" s="186" t="s">
        <v>3393</v>
      </c>
      <c r="BD52" s="54"/>
      <c r="BE52" s="54"/>
      <c r="BF52" s="54"/>
      <c r="BG52" s="54"/>
      <c r="BH52" s="281" t="s">
        <v>105</v>
      </c>
      <c r="BI52" s="54" t="s">
        <v>88</v>
      </c>
      <c r="BJ52" s="261" t="s">
        <v>3394</v>
      </c>
      <c r="BK52" s="290">
        <v>1192034554</v>
      </c>
    </row>
    <row r="53" spans="1:63">
      <c r="A53" s="47">
        <v>48</v>
      </c>
      <c r="B53" s="54"/>
      <c r="C53" s="54" t="s">
        <v>509</v>
      </c>
      <c r="D53" s="52" t="s">
        <v>76</v>
      </c>
      <c r="E53" s="54" t="s">
        <v>1904</v>
      </c>
      <c r="F53" s="54"/>
      <c r="G53" s="54" t="s">
        <v>3395</v>
      </c>
      <c r="H53" s="54" t="s">
        <v>177</v>
      </c>
      <c r="I53" s="102" t="str">
        <f t="shared" si="0"/>
        <v>Jusmawati, S.Pd</v>
      </c>
      <c r="J53" s="54" t="s">
        <v>80</v>
      </c>
      <c r="K53" s="102" t="str">
        <f t="shared" si="10"/>
        <v>Perempuan</v>
      </c>
      <c r="L53" s="153" t="s">
        <v>1536</v>
      </c>
      <c r="M53" s="675" t="s">
        <v>3396</v>
      </c>
      <c r="N53" s="155" t="str">
        <f ca="1" t="shared" si="11"/>
        <v>33 Tahun 3 Bulan </v>
      </c>
      <c r="O53" s="676" t="s">
        <v>3397</v>
      </c>
      <c r="P53" s="105" t="e">
        <f ca="1" t="shared" si="13"/>
        <v>#VALUE!</v>
      </c>
      <c r="Q53" s="105" t="e">
        <f ca="1" t="shared" si="15"/>
        <v>#VALUE!</v>
      </c>
      <c r="R53" s="560" t="s">
        <v>3398</v>
      </c>
      <c r="S53" s="54"/>
      <c r="T53" s="54"/>
      <c r="U53" s="54" t="s">
        <v>83</v>
      </c>
      <c r="V53" s="54" t="s">
        <v>3053</v>
      </c>
      <c r="W53" s="52" t="s">
        <v>112</v>
      </c>
      <c r="X53" s="186" t="s">
        <v>3399</v>
      </c>
      <c r="Y53" s="200" t="s">
        <v>156</v>
      </c>
      <c r="Z53" s="200" t="s">
        <v>156</v>
      </c>
      <c r="AA53" s="200" t="s">
        <v>156</v>
      </c>
      <c r="AB53" s="54" t="s">
        <v>518</v>
      </c>
      <c r="AC53" s="194">
        <v>77372</v>
      </c>
      <c r="AD53" s="194" t="s">
        <v>518</v>
      </c>
      <c r="AE53" s="54"/>
      <c r="AF53" s="617" t="s">
        <v>3400</v>
      </c>
      <c r="AG53" s="243" t="s">
        <v>3401</v>
      </c>
      <c r="AH53" s="54"/>
      <c r="AI53" s="54"/>
      <c r="AJ53" s="244" t="s">
        <v>3402</v>
      </c>
      <c r="AK53" s="677" t="s">
        <v>3010</v>
      </c>
      <c r="AL53" s="155" t="str">
        <f ca="1" t="shared" si="4"/>
        <v>7 Tahun 10 Bulan </v>
      </c>
      <c r="AM53" s="54" t="s">
        <v>92</v>
      </c>
      <c r="AN53" s="54" t="s">
        <v>2922</v>
      </c>
      <c r="AO53" s="186" t="s">
        <v>3403</v>
      </c>
      <c r="AP53" s="260" t="s">
        <v>1659</v>
      </c>
      <c r="AQ53" s="186"/>
      <c r="AR53" s="54"/>
      <c r="AS53" s="186"/>
      <c r="AT53" s="54"/>
      <c r="AU53" s="54"/>
      <c r="AV53" s="261"/>
      <c r="AW53" s="52" t="s">
        <v>100</v>
      </c>
      <c r="AX53" s="277" t="s">
        <v>101</v>
      </c>
      <c r="AY53" s="278" t="s">
        <v>1615</v>
      </c>
      <c r="AZ53" s="54"/>
      <c r="BA53" s="54"/>
      <c r="BB53" s="54"/>
      <c r="BC53" s="186" t="s">
        <v>3404</v>
      </c>
      <c r="BD53" s="54"/>
      <c r="BE53" s="54"/>
      <c r="BF53" s="54"/>
      <c r="BG53" s="54"/>
      <c r="BH53" s="281" t="s">
        <v>105</v>
      </c>
      <c r="BI53" s="54" t="s">
        <v>88</v>
      </c>
      <c r="BJ53" s="261" t="s">
        <v>3405</v>
      </c>
      <c r="BK53" s="678" t="s">
        <v>3406</v>
      </c>
    </row>
    <row r="54" s="45" customFormat="1" spans="1:63">
      <c r="A54" s="10">
        <v>49</v>
      </c>
      <c r="B54" s="87" t="s">
        <v>3407</v>
      </c>
      <c r="C54" s="87" t="s">
        <v>3408</v>
      </c>
      <c r="D54" s="87" t="s">
        <v>76</v>
      </c>
      <c r="E54" s="87" t="s">
        <v>3409</v>
      </c>
      <c r="F54" s="87"/>
      <c r="G54" s="87" t="s">
        <v>1022</v>
      </c>
      <c r="H54" s="87" t="s">
        <v>161</v>
      </c>
      <c r="I54" s="157" t="str">
        <f t="shared" si="0"/>
        <v>Kartini, SE</v>
      </c>
      <c r="J54" s="87" t="s">
        <v>80</v>
      </c>
      <c r="K54" s="158" t="str">
        <f t="shared" si="10"/>
        <v>Perempuan</v>
      </c>
      <c r="L54" s="87" t="s">
        <v>2316</v>
      </c>
      <c r="M54" s="159">
        <v>31174</v>
      </c>
      <c r="N54" s="160" t="str">
        <f ca="1" t="shared" si="11"/>
        <v>40 Tahun 5 Bulan </v>
      </c>
      <c r="O54" s="161" t="str">
        <f t="shared" ref="O54:O56" si="17">TEXT(M54,"DD MMMM YYYY")</f>
        <v>07 May 1985</v>
      </c>
      <c r="P54" s="158">
        <f ca="1" t="shared" si="13"/>
        <v>40</v>
      </c>
      <c r="Q54" s="158" t="str">
        <f ca="1" t="shared" si="15"/>
        <v>OKE</v>
      </c>
      <c r="R54" s="679" t="s">
        <v>3410</v>
      </c>
      <c r="S54" s="87"/>
      <c r="T54" s="87"/>
      <c r="U54" s="87" t="s">
        <v>3411</v>
      </c>
      <c r="V54" s="158" t="s">
        <v>2936</v>
      </c>
      <c r="W54" s="158" t="s">
        <v>112</v>
      </c>
      <c r="X54" s="87" t="s">
        <v>2172</v>
      </c>
      <c r="Y54" s="679" t="s">
        <v>3412</v>
      </c>
      <c r="Z54" s="87"/>
      <c r="AA54" s="87"/>
      <c r="AB54" s="87" t="s">
        <v>2162</v>
      </c>
      <c r="AC54" s="679" t="s">
        <v>2103</v>
      </c>
      <c r="AD54" s="87" t="s">
        <v>544</v>
      </c>
      <c r="AE54" s="87"/>
      <c r="AF54" s="680" t="s">
        <v>3413</v>
      </c>
      <c r="AG54" s="246" t="s">
        <v>3414</v>
      </c>
      <c r="AH54" s="87"/>
      <c r="AI54" s="87"/>
      <c r="AJ54" s="87" t="s">
        <v>3415</v>
      </c>
      <c r="AK54" s="159">
        <v>42738</v>
      </c>
      <c r="AL54" s="115" t="str">
        <f ca="1" t="shared" si="4"/>
        <v>8 Tahun 10 Bulan </v>
      </c>
      <c r="AM54" s="158" t="s">
        <v>92</v>
      </c>
      <c r="AN54" s="158" t="s">
        <v>2922</v>
      </c>
      <c r="AO54" s="87" t="s">
        <v>3416</v>
      </c>
      <c r="AP54" s="87" t="s">
        <v>838</v>
      </c>
      <c r="AQ54" s="87" t="s">
        <v>3417</v>
      </c>
      <c r="AR54" s="87"/>
      <c r="AS54" s="87" t="s">
        <v>2076</v>
      </c>
      <c r="AT54" s="87"/>
      <c r="AU54" s="87"/>
      <c r="AV54" s="679" t="s">
        <v>3418</v>
      </c>
      <c r="AW54" s="158" t="s">
        <v>100</v>
      </c>
      <c r="AX54" s="158" t="s">
        <v>101</v>
      </c>
      <c r="AY54" s="87" t="s">
        <v>121</v>
      </c>
      <c r="AZ54" s="87"/>
      <c r="BA54" s="87"/>
      <c r="BB54" s="279"/>
      <c r="BC54" s="87"/>
      <c r="BD54" s="87"/>
      <c r="BE54" s="87"/>
      <c r="BF54" s="87"/>
      <c r="BG54" s="87"/>
      <c r="BH54" s="87" t="s">
        <v>105</v>
      </c>
      <c r="BI54" s="87" t="s">
        <v>88</v>
      </c>
      <c r="BJ54" s="87" t="s">
        <v>1022</v>
      </c>
      <c r="BK54" s="679" t="s">
        <v>3419</v>
      </c>
    </row>
    <row r="55" s="45" customFormat="1" spans="1:63">
      <c r="A55" s="47">
        <v>50</v>
      </c>
      <c r="B55" s="679" t="s">
        <v>3420</v>
      </c>
      <c r="C55" s="87" t="s">
        <v>3408</v>
      </c>
      <c r="D55" s="87" t="s">
        <v>76</v>
      </c>
      <c r="E55" s="87" t="s">
        <v>3409</v>
      </c>
      <c r="F55" s="87"/>
      <c r="G55" s="87" t="s">
        <v>3421</v>
      </c>
      <c r="H55" s="87"/>
      <c r="I55" s="157" t="str">
        <f t="shared" si="0"/>
        <v>Masjuni</v>
      </c>
      <c r="J55" s="87" t="s">
        <v>127</v>
      </c>
      <c r="K55" s="158" t="str">
        <f t="shared" si="10"/>
        <v>Laki-laki</v>
      </c>
      <c r="L55" s="87" t="s">
        <v>2316</v>
      </c>
      <c r="M55" s="159">
        <v>32360</v>
      </c>
      <c r="N55" s="160" t="str">
        <f ca="1" t="shared" si="11"/>
        <v>37 Tahun 2 Bulan </v>
      </c>
      <c r="O55" s="161" t="str">
        <f t="shared" si="17"/>
        <v>05 August 1988</v>
      </c>
      <c r="P55" s="158">
        <f ca="1" t="shared" si="13"/>
        <v>37</v>
      </c>
      <c r="Q55" s="158" t="str">
        <f ca="1" t="shared" si="15"/>
        <v>OKE</v>
      </c>
      <c r="R55" s="679" t="s">
        <v>3422</v>
      </c>
      <c r="S55" s="87"/>
      <c r="T55" s="87"/>
      <c r="U55" s="87" t="s">
        <v>792</v>
      </c>
      <c r="V55" s="158" t="s">
        <v>2936</v>
      </c>
      <c r="W55" s="158" t="s">
        <v>112</v>
      </c>
      <c r="X55" s="87" t="s">
        <v>3423</v>
      </c>
      <c r="Y55" s="679" t="s">
        <v>2574</v>
      </c>
      <c r="Z55" s="87"/>
      <c r="AA55" s="87"/>
      <c r="AB55" s="87" t="s">
        <v>2162</v>
      </c>
      <c r="AC55" s="679" t="s">
        <v>2103</v>
      </c>
      <c r="AD55" s="87" t="s">
        <v>544</v>
      </c>
      <c r="AE55" s="87"/>
      <c r="AF55" s="679" t="s">
        <v>3424</v>
      </c>
      <c r="AG55" s="247" t="s">
        <v>3425</v>
      </c>
      <c r="AH55" s="87"/>
      <c r="AI55" s="87"/>
      <c r="AJ55" s="679" t="s">
        <v>3420</v>
      </c>
      <c r="AK55" s="159">
        <v>42583</v>
      </c>
      <c r="AL55" s="115" t="str">
        <f ca="1" t="shared" si="4"/>
        <v>9 Tahun 3 Bulan </v>
      </c>
      <c r="AM55" s="158" t="s">
        <v>92</v>
      </c>
      <c r="AN55" s="158" t="s">
        <v>2922</v>
      </c>
      <c r="AO55" s="87" t="s">
        <v>3426</v>
      </c>
      <c r="AP55" s="87" t="s">
        <v>1659</v>
      </c>
      <c r="AQ55" s="87"/>
      <c r="AR55" s="87"/>
      <c r="AS55" s="87"/>
      <c r="AT55" s="87"/>
      <c r="AU55" s="87"/>
      <c r="AV55" s="679" t="s">
        <v>3427</v>
      </c>
      <c r="AW55" s="158" t="s">
        <v>100</v>
      </c>
      <c r="AX55" s="279" t="s">
        <v>120</v>
      </c>
      <c r="AY55" s="87" t="s">
        <v>234</v>
      </c>
      <c r="AZ55" s="87"/>
      <c r="BA55" s="87"/>
      <c r="BB55" s="279"/>
      <c r="BC55" s="87"/>
      <c r="BD55" s="87"/>
      <c r="BE55" s="87"/>
      <c r="BF55" s="87"/>
      <c r="BG55" s="87"/>
      <c r="BH55" s="87" t="s">
        <v>2079</v>
      </c>
      <c r="BI55" s="87" t="s">
        <v>88</v>
      </c>
      <c r="BJ55" s="87" t="s">
        <v>3421</v>
      </c>
      <c r="BK55" s="679" t="s">
        <v>3428</v>
      </c>
    </row>
    <row r="56" s="45" customFormat="1" ht="15.5" spans="1:63">
      <c r="A56" s="10">
        <v>51</v>
      </c>
      <c r="B56" s="88" t="s">
        <v>3429</v>
      </c>
      <c r="C56" s="87" t="s">
        <v>3408</v>
      </c>
      <c r="D56" s="87" t="s">
        <v>76</v>
      </c>
      <c r="E56" s="87" t="s">
        <v>3409</v>
      </c>
      <c r="F56" s="87"/>
      <c r="G56" s="87" t="s">
        <v>3430</v>
      </c>
      <c r="H56" s="87"/>
      <c r="I56" s="157" t="str">
        <f t="shared" si="0"/>
        <v>Mustafa</v>
      </c>
      <c r="J56" s="87" t="s">
        <v>127</v>
      </c>
      <c r="K56" s="158" t="str">
        <f t="shared" si="10"/>
        <v>Laki-laki</v>
      </c>
      <c r="L56" s="88" t="s">
        <v>75</v>
      </c>
      <c r="M56" s="159">
        <v>32935</v>
      </c>
      <c r="N56" s="160" t="str">
        <f ca="1" t="shared" si="11"/>
        <v>35 Tahun 8 Bulan </v>
      </c>
      <c r="O56" s="161" t="str">
        <f t="shared" si="17"/>
        <v>03 March 1990</v>
      </c>
      <c r="P56" s="158">
        <f ca="1" t="shared" si="13"/>
        <v>35</v>
      </c>
      <c r="Q56" s="158" t="str">
        <f ca="1" t="shared" si="15"/>
        <v>OKE</v>
      </c>
      <c r="R56" s="679" t="s">
        <v>3431</v>
      </c>
      <c r="S56" s="87"/>
      <c r="T56" s="87"/>
      <c r="U56" s="87" t="s">
        <v>750</v>
      </c>
      <c r="V56" s="158" t="s">
        <v>2936</v>
      </c>
      <c r="W56" s="158" t="s">
        <v>112</v>
      </c>
      <c r="X56" s="87" t="s">
        <v>2172</v>
      </c>
      <c r="Y56" s="679" t="s">
        <v>1496</v>
      </c>
      <c r="Z56" s="87"/>
      <c r="AA56" s="87"/>
      <c r="AB56" s="87" t="s">
        <v>2162</v>
      </c>
      <c r="AC56" s="679" t="s">
        <v>2103</v>
      </c>
      <c r="AD56" s="87" t="s">
        <v>544</v>
      </c>
      <c r="AE56" s="87"/>
      <c r="AF56" s="681" t="s">
        <v>3432</v>
      </c>
      <c r="AG56" s="88" t="s">
        <v>3433</v>
      </c>
      <c r="AH56" s="87"/>
      <c r="AI56" s="87"/>
      <c r="AJ56" s="88" t="s">
        <v>3429</v>
      </c>
      <c r="AK56" s="159">
        <v>42430</v>
      </c>
      <c r="AL56" s="115" t="str">
        <f ca="1" t="shared" si="4"/>
        <v>9 Tahun 8 Bulan </v>
      </c>
      <c r="AM56" s="158" t="s">
        <v>92</v>
      </c>
      <c r="AN56" s="158" t="s">
        <v>2922</v>
      </c>
      <c r="AO56" s="87" t="s">
        <v>3434</v>
      </c>
      <c r="AP56" s="87" t="s">
        <v>1659</v>
      </c>
      <c r="AQ56" s="87"/>
      <c r="AR56" s="87"/>
      <c r="AS56" s="87"/>
      <c r="AT56" s="87"/>
      <c r="AU56" s="87"/>
      <c r="AV56" s="679" t="s">
        <v>3435</v>
      </c>
      <c r="AW56" s="158" t="s">
        <v>100</v>
      </c>
      <c r="AX56" s="279" t="s">
        <v>120</v>
      </c>
      <c r="AY56" s="87" t="s">
        <v>2901</v>
      </c>
      <c r="AZ56" s="87"/>
      <c r="BA56" s="87"/>
      <c r="BB56" s="279"/>
      <c r="BC56" s="87"/>
      <c r="BD56" s="87"/>
      <c r="BE56" s="87"/>
      <c r="BF56" s="87"/>
      <c r="BG56" s="87"/>
      <c r="BH56" s="87" t="s">
        <v>105</v>
      </c>
      <c r="BI56" s="87" t="s">
        <v>88</v>
      </c>
      <c r="BJ56" s="87" t="s">
        <v>3430</v>
      </c>
      <c r="BK56" s="679" t="s">
        <v>3436</v>
      </c>
    </row>
    <row r="57" s="43" customFormat="1" ht="20.1" customHeight="1" spans="1:63">
      <c r="A57" s="47">
        <v>52</v>
      </c>
      <c r="B57" s="89"/>
      <c r="C57" s="89" t="s">
        <v>2348</v>
      </c>
      <c r="D57" s="89" t="s">
        <v>76</v>
      </c>
      <c r="E57" s="89" t="s">
        <v>2349</v>
      </c>
      <c r="F57" s="90"/>
      <c r="G57" s="91" t="s">
        <v>3437</v>
      </c>
      <c r="H57" s="89" t="s">
        <v>830</v>
      </c>
      <c r="I57" s="102" t="str">
        <f t="shared" si="0"/>
        <v>Ratih Septianingsih, S.Pi</v>
      </c>
      <c r="J57" s="89" t="s">
        <v>80</v>
      </c>
      <c r="K57" s="82" t="str">
        <f t="shared" si="10"/>
        <v>Perempuan</v>
      </c>
      <c r="L57" s="91" t="s">
        <v>3438</v>
      </c>
      <c r="M57" s="162">
        <v>33870</v>
      </c>
      <c r="N57" s="155" t="str">
        <f ca="1" t="shared" si="11"/>
        <v>33 Tahun 1 Bulan </v>
      </c>
      <c r="O57" s="163">
        <v>33870</v>
      </c>
      <c r="P57" s="146">
        <f ca="1" t="shared" si="13"/>
        <v>33</v>
      </c>
      <c r="Q57" s="146" t="str">
        <f ca="1" t="shared" si="15"/>
        <v>OKE</v>
      </c>
      <c r="R57" s="628" t="s">
        <v>3439</v>
      </c>
      <c r="S57" s="90"/>
      <c r="T57" s="89"/>
      <c r="U57" s="89" t="s">
        <v>129</v>
      </c>
      <c r="V57" s="89" t="s">
        <v>2936</v>
      </c>
      <c r="W57" s="89" t="s">
        <v>112</v>
      </c>
      <c r="X57" s="188" t="s">
        <v>2563</v>
      </c>
      <c r="Y57" s="202">
        <v>1</v>
      </c>
      <c r="Z57" s="203"/>
      <c r="AA57" s="203"/>
      <c r="AB57" s="188" t="s">
        <v>2408</v>
      </c>
      <c r="AC57" s="204">
        <v>77372</v>
      </c>
      <c r="AD57" s="188" t="s">
        <v>1060</v>
      </c>
      <c r="AE57" s="203"/>
      <c r="AF57" s="205">
        <v>85151335003</v>
      </c>
      <c r="AG57" s="248"/>
      <c r="AH57" s="203"/>
      <c r="AI57" s="203"/>
      <c r="AJ57" s="249" t="s">
        <v>3440</v>
      </c>
      <c r="AK57" s="250">
        <v>42923</v>
      </c>
      <c r="AL57" s="235" t="str">
        <f ca="1" t="shared" si="4"/>
        <v>8 Tahun 3 Bulan </v>
      </c>
      <c r="AM57" s="249" t="s">
        <v>92</v>
      </c>
      <c r="AN57" s="249" t="s">
        <v>2922</v>
      </c>
      <c r="AO57" s="188" t="s">
        <v>2374</v>
      </c>
      <c r="AP57" s="204">
        <v>2</v>
      </c>
      <c r="AQ57" s="203"/>
      <c r="AR57" s="262"/>
      <c r="AS57" s="263"/>
      <c r="AT57" s="203"/>
      <c r="AU57" s="264" t="s">
        <v>883</v>
      </c>
      <c r="AV57" s="204"/>
      <c r="AW57" s="264" t="s">
        <v>100</v>
      </c>
      <c r="AX57" s="264" t="s">
        <v>101</v>
      </c>
      <c r="AY57" s="188" t="s">
        <v>3441</v>
      </c>
      <c r="AZ57" s="203"/>
      <c r="BA57" s="203"/>
      <c r="BB57" s="91"/>
      <c r="BC57" s="90"/>
      <c r="BD57" s="90"/>
      <c r="BE57" s="89"/>
      <c r="BF57" s="89"/>
      <c r="BG57" s="90" t="s">
        <v>3441</v>
      </c>
      <c r="BH57" s="89" t="s">
        <v>301</v>
      </c>
      <c r="BI57" s="91" t="s">
        <v>2402</v>
      </c>
      <c r="BJ57" s="90" t="s">
        <v>3442</v>
      </c>
      <c r="BK57" s="89">
        <v>1192034635</v>
      </c>
    </row>
    <row r="58" s="43" customFormat="1" ht="20.1" customHeight="1" spans="1:63">
      <c r="A58" s="10">
        <v>53</v>
      </c>
      <c r="B58" s="62"/>
      <c r="C58" s="89" t="s">
        <v>2348</v>
      </c>
      <c r="D58" s="89" t="s">
        <v>76</v>
      </c>
      <c r="E58" s="89" t="s">
        <v>2349</v>
      </c>
      <c r="F58" s="61"/>
      <c r="G58" s="91" t="s">
        <v>3443</v>
      </c>
      <c r="H58" s="89" t="s">
        <v>1309</v>
      </c>
      <c r="I58" s="102" t="str">
        <f t="shared" si="0"/>
        <v>Juriansyah, S. Pd</v>
      </c>
      <c r="J58" s="89" t="s">
        <v>127</v>
      </c>
      <c r="K58" s="82" t="str">
        <f t="shared" si="10"/>
        <v>Laki-laki</v>
      </c>
      <c r="L58" s="91" t="s">
        <v>3444</v>
      </c>
      <c r="M58" s="162">
        <v>34069</v>
      </c>
      <c r="N58" s="155" t="str">
        <f ca="1" t="shared" si="11"/>
        <v>32 Tahun 6 Bulan </v>
      </c>
      <c r="O58" s="163">
        <v>34069</v>
      </c>
      <c r="P58" s="146">
        <f ca="1" t="shared" si="13"/>
        <v>32</v>
      </c>
      <c r="Q58" s="146" t="str">
        <f ca="1" t="shared" si="15"/>
        <v>OKE</v>
      </c>
      <c r="R58" s="628" t="s">
        <v>3445</v>
      </c>
      <c r="S58" s="90"/>
      <c r="T58" s="89"/>
      <c r="U58" s="89" t="s">
        <v>83</v>
      </c>
      <c r="V58" s="89" t="s">
        <v>2917</v>
      </c>
      <c r="W58" s="89" t="s">
        <v>112</v>
      </c>
      <c r="X58" s="188" t="s">
        <v>3446</v>
      </c>
      <c r="Y58" s="89">
        <v>4</v>
      </c>
      <c r="Z58" s="90"/>
      <c r="AA58" s="90"/>
      <c r="AB58" s="91" t="s">
        <v>3447</v>
      </c>
      <c r="AC58" s="89"/>
      <c r="AD58" s="91" t="s">
        <v>3448</v>
      </c>
      <c r="AE58" s="90"/>
      <c r="AF58" s="633" t="s">
        <v>3449</v>
      </c>
      <c r="AG58" s="251" t="s">
        <v>3450</v>
      </c>
      <c r="AH58" s="90"/>
      <c r="AI58" s="90"/>
      <c r="AJ58" s="249" t="s">
        <v>3451</v>
      </c>
      <c r="AK58" s="250">
        <v>42923</v>
      </c>
      <c r="AL58" s="235" t="str">
        <f ca="1" t="shared" si="4"/>
        <v>8 Tahun 3 Bulan </v>
      </c>
      <c r="AM58" s="91" t="s">
        <v>92</v>
      </c>
      <c r="AN58" s="91" t="s">
        <v>2922</v>
      </c>
      <c r="AO58" s="91" t="s">
        <v>3452</v>
      </c>
      <c r="AP58" s="89">
        <v>2</v>
      </c>
      <c r="AQ58" s="91"/>
      <c r="AR58" s="265"/>
      <c r="AS58" s="91"/>
      <c r="AT58" s="90"/>
      <c r="AU58" s="89" t="s">
        <v>883</v>
      </c>
      <c r="AV58" s="89"/>
      <c r="AW58" s="89" t="s">
        <v>100</v>
      </c>
      <c r="AX58" s="89" t="s">
        <v>101</v>
      </c>
      <c r="AY58" s="91" t="s">
        <v>330</v>
      </c>
      <c r="AZ58" s="90"/>
      <c r="BA58" s="90"/>
      <c r="BB58" s="91"/>
      <c r="BC58" s="90" t="s">
        <v>3453</v>
      </c>
      <c r="BD58" s="90"/>
      <c r="BE58" s="89">
        <v>30</v>
      </c>
      <c r="BF58" s="89"/>
      <c r="BG58" s="90" t="s">
        <v>3453</v>
      </c>
      <c r="BH58" s="89" t="s">
        <v>301</v>
      </c>
      <c r="BI58" s="91" t="s">
        <v>2402</v>
      </c>
      <c r="BJ58" s="90" t="s">
        <v>3454</v>
      </c>
      <c r="BK58" s="633" t="s">
        <v>3455</v>
      </c>
    </row>
    <row r="59" s="43" customFormat="1" ht="20.1" customHeight="1" spans="1:63">
      <c r="A59" s="47">
        <v>54</v>
      </c>
      <c r="B59" s="62"/>
      <c r="C59" s="89" t="s">
        <v>2348</v>
      </c>
      <c r="D59" s="89" t="s">
        <v>76</v>
      </c>
      <c r="E59" s="89" t="s">
        <v>2349</v>
      </c>
      <c r="F59" s="61"/>
      <c r="G59" s="91" t="s">
        <v>3456</v>
      </c>
      <c r="H59" s="89" t="s">
        <v>177</v>
      </c>
      <c r="I59" s="102" t="str">
        <f t="shared" si="0"/>
        <v>Ilyas, S.Pd</v>
      </c>
      <c r="J59" s="89" t="s">
        <v>127</v>
      </c>
      <c r="K59" s="82" t="str">
        <f t="shared" si="10"/>
        <v>Laki-laki</v>
      </c>
      <c r="L59" s="91" t="s">
        <v>3457</v>
      </c>
      <c r="M59" s="162">
        <v>34434</v>
      </c>
      <c r="N59" s="155" t="str">
        <f ca="1" t="shared" si="11"/>
        <v>31 Tahun 6 Bulan </v>
      </c>
      <c r="O59" s="163">
        <v>34434</v>
      </c>
      <c r="P59" s="146">
        <f ca="1" t="shared" si="13"/>
        <v>31</v>
      </c>
      <c r="Q59" s="146" t="str">
        <f ca="1" t="shared" si="15"/>
        <v>OKE</v>
      </c>
      <c r="R59" s="628" t="s">
        <v>3458</v>
      </c>
      <c r="S59" s="90"/>
      <c r="T59" s="89"/>
      <c r="U59" s="89" t="s">
        <v>83</v>
      </c>
      <c r="V59" s="89" t="s">
        <v>2917</v>
      </c>
      <c r="W59" s="89" t="s">
        <v>112</v>
      </c>
      <c r="X59" s="90" t="s">
        <v>3459</v>
      </c>
      <c r="Y59" s="89">
        <v>15</v>
      </c>
      <c r="Z59" s="90"/>
      <c r="AA59" s="90"/>
      <c r="AB59" s="91" t="s">
        <v>450</v>
      </c>
      <c r="AC59" s="89">
        <v>77371</v>
      </c>
      <c r="AD59" s="91" t="s">
        <v>450</v>
      </c>
      <c r="AE59" s="90"/>
      <c r="AF59" s="633" t="s">
        <v>3460</v>
      </c>
      <c r="AG59" s="251" t="s">
        <v>3461</v>
      </c>
      <c r="AH59" s="90"/>
      <c r="AI59" s="90"/>
      <c r="AJ59" s="249" t="s">
        <v>3462</v>
      </c>
      <c r="AK59" s="250">
        <v>42923</v>
      </c>
      <c r="AL59" s="235" t="str">
        <f ca="1" t="shared" si="4"/>
        <v>8 Tahun 3 Bulan </v>
      </c>
      <c r="AM59" s="91" t="s">
        <v>92</v>
      </c>
      <c r="AN59" s="91" t="s">
        <v>2922</v>
      </c>
      <c r="AO59" s="91" t="s">
        <v>3463</v>
      </c>
      <c r="AP59" s="89">
        <v>2</v>
      </c>
      <c r="AQ59" s="91"/>
      <c r="AR59" s="265"/>
      <c r="AS59" s="91"/>
      <c r="AT59" s="90"/>
      <c r="AU59" s="89" t="s">
        <v>883</v>
      </c>
      <c r="AV59" s="89"/>
      <c r="AW59" s="89" t="s">
        <v>100</v>
      </c>
      <c r="AX59" s="89" t="s">
        <v>101</v>
      </c>
      <c r="AY59" s="91" t="s">
        <v>1522</v>
      </c>
      <c r="AZ59" s="90"/>
      <c r="BA59" s="90"/>
      <c r="BB59" s="91"/>
      <c r="BC59" s="90" t="s">
        <v>3464</v>
      </c>
      <c r="BD59" s="90"/>
      <c r="BE59" s="89">
        <v>12</v>
      </c>
      <c r="BF59" s="89"/>
      <c r="BG59" s="90" t="s">
        <v>1522</v>
      </c>
      <c r="BH59" s="89" t="s">
        <v>301</v>
      </c>
      <c r="BI59" s="91" t="s">
        <v>1772</v>
      </c>
      <c r="BJ59" s="90" t="s">
        <v>3465</v>
      </c>
      <c r="BK59" s="89">
        <v>1712020977</v>
      </c>
    </row>
    <row r="60" s="43" customFormat="1" spans="1:63">
      <c r="A60" s="10">
        <v>55</v>
      </c>
      <c r="B60" s="92"/>
      <c r="C60" s="93" t="s">
        <v>509</v>
      </c>
      <c r="D60" s="94" t="s">
        <v>76</v>
      </c>
      <c r="E60" s="95" t="s">
        <v>2569</v>
      </c>
      <c r="F60" s="95"/>
      <c r="G60" s="95" t="s">
        <v>3466</v>
      </c>
      <c r="H60" s="95" t="s">
        <v>1328</v>
      </c>
      <c r="I60" s="102" t="str">
        <f t="shared" si="0"/>
        <v>Diana Ratnasari, S.Pd.I</v>
      </c>
      <c r="J60" s="95" t="s">
        <v>80</v>
      </c>
      <c r="K60" s="97" t="str">
        <f t="shared" si="10"/>
        <v>Perempuan</v>
      </c>
      <c r="L60" s="95" t="s">
        <v>3467</v>
      </c>
      <c r="M60" s="164">
        <v>33671</v>
      </c>
      <c r="N60" s="165" t="str">
        <f ca="1" t="shared" si="11"/>
        <v>33 Tahun 7 Bulan </v>
      </c>
      <c r="O60" s="166">
        <v>33671</v>
      </c>
      <c r="P60" s="98">
        <f ca="1" t="shared" si="13"/>
        <v>33</v>
      </c>
      <c r="Q60" s="98" t="str">
        <f ca="1" t="shared" si="15"/>
        <v>OKE</v>
      </c>
      <c r="R60" s="682" t="s">
        <v>3468</v>
      </c>
      <c r="S60" s="95"/>
      <c r="T60" s="95"/>
      <c r="U60" s="97" t="s">
        <v>83</v>
      </c>
      <c r="V60" s="189" t="s">
        <v>2917</v>
      </c>
      <c r="W60" s="97" t="s">
        <v>112</v>
      </c>
      <c r="X60" s="95" t="s">
        <v>3469</v>
      </c>
      <c r="Y60" s="683" t="s">
        <v>2574</v>
      </c>
      <c r="Z60" s="95"/>
      <c r="AA60" s="95"/>
      <c r="AB60" s="95" t="s">
        <v>3470</v>
      </c>
      <c r="AC60" s="92">
        <v>77375</v>
      </c>
      <c r="AD60" s="95" t="s">
        <v>1053</v>
      </c>
      <c r="AE60" s="95"/>
      <c r="AF60" s="683" t="s">
        <v>3471</v>
      </c>
      <c r="AG60" s="95"/>
      <c r="AH60" s="95"/>
      <c r="AI60" s="95"/>
      <c r="AJ60" s="170" t="s">
        <v>3472</v>
      </c>
      <c r="AK60" s="252">
        <v>43102</v>
      </c>
      <c r="AL60" s="155" t="str">
        <f ca="1" t="shared" si="4"/>
        <v>7 Tahun 10 Bulan </v>
      </c>
      <c r="AM60" s="95" t="s">
        <v>92</v>
      </c>
      <c r="AN60" s="95" t="s">
        <v>2922</v>
      </c>
      <c r="AO60" s="170" t="s">
        <v>348</v>
      </c>
      <c r="AP60" s="170" t="s">
        <v>838</v>
      </c>
      <c r="AQ60" s="95" t="s">
        <v>3473</v>
      </c>
      <c r="AR60" s="95"/>
      <c r="AS60" s="95" t="s">
        <v>2076</v>
      </c>
      <c r="AT60" s="95"/>
      <c r="AU60" s="95"/>
      <c r="AV60" s="95" t="s">
        <v>3474</v>
      </c>
      <c r="AW60" s="98" t="s">
        <v>100</v>
      </c>
      <c r="AX60" s="97" t="s">
        <v>101</v>
      </c>
      <c r="AY60" s="95" t="s">
        <v>550</v>
      </c>
      <c r="AZ60" s="95"/>
      <c r="BA60" s="95"/>
      <c r="BB60" s="95" t="s">
        <v>346</v>
      </c>
      <c r="BC60" s="170" t="s">
        <v>3475</v>
      </c>
      <c r="BD60" s="92">
        <v>2</v>
      </c>
      <c r="BE60" s="92">
        <v>22</v>
      </c>
      <c r="BF60" s="92">
        <v>24</v>
      </c>
      <c r="BG60" s="95"/>
      <c r="BH60" s="92" t="s">
        <v>301</v>
      </c>
      <c r="BI60" s="97" t="s">
        <v>2582</v>
      </c>
      <c r="BJ60" s="170" t="s">
        <v>3476</v>
      </c>
      <c r="BK60" s="683" t="s">
        <v>3477</v>
      </c>
    </row>
    <row r="61" s="43" customFormat="1" spans="1:63">
      <c r="A61" s="47">
        <v>56</v>
      </c>
      <c r="B61" s="96"/>
      <c r="C61" s="97" t="s">
        <v>509</v>
      </c>
      <c r="D61" s="98" t="s">
        <v>76</v>
      </c>
      <c r="E61" s="99" t="s">
        <v>2569</v>
      </c>
      <c r="F61" s="99"/>
      <c r="G61" s="99" t="s">
        <v>3478</v>
      </c>
      <c r="H61" s="99" t="s">
        <v>177</v>
      </c>
      <c r="I61" s="102" t="str">
        <f t="shared" si="0"/>
        <v>Nurjannah, S.Pd</v>
      </c>
      <c r="J61" s="99" t="s">
        <v>80</v>
      </c>
      <c r="K61" s="97" t="str">
        <f t="shared" si="10"/>
        <v>Perempuan</v>
      </c>
      <c r="L61" s="99" t="s">
        <v>75</v>
      </c>
      <c r="M61" s="167">
        <v>33848</v>
      </c>
      <c r="N61" s="168" t="str">
        <f ca="1" t="shared" si="11"/>
        <v>33 Tahun 2 Bulan </v>
      </c>
      <c r="O61" s="169">
        <v>33848</v>
      </c>
      <c r="P61" s="98">
        <f ca="1" t="shared" si="13"/>
        <v>33</v>
      </c>
      <c r="Q61" s="98" t="str">
        <f ca="1" t="shared" si="15"/>
        <v>OKE</v>
      </c>
      <c r="R61" s="635" t="s">
        <v>3479</v>
      </c>
      <c r="S61" s="99"/>
      <c r="T61" s="99"/>
      <c r="U61" s="97" t="s">
        <v>83</v>
      </c>
      <c r="V61" s="190" t="s">
        <v>2917</v>
      </c>
      <c r="W61" s="97" t="s">
        <v>112</v>
      </c>
      <c r="X61" s="99" t="s">
        <v>2718</v>
      </c>
      <c r="Y61" s="638" t="s">
        <v>1480</v>
      </c>
      <c r="Z61" s="99"/>
      <c r="AA61" s="99"/>
      <c r="AB61" s="99" t="s">
        <v>2718</v>
      </c>
      <c r="AC61" s="96">
        <v>77375</v>
      </c>
      <c r="AD61" s="99" t="s">
        <v>1053</v>
      </c>
      <c r="AE61" s="99"/>
      <c r="AF61" s="638" t="s">
        <v>3480</v>
      </c>
      <c r="AG61" s="99"/>
      <c r="AH61" s="99"/>
      <c r="AI61" s="99"/>
      <c r="AJ61" s="253" t="s">
        <v>3481</v>
      </c>
      <c r="AK61" s="254">
        <v>43102</v>
      </c>
      <c r="AL61" s="155" t="str">
        <f ca="1" t="shared" si="4"/>
        <v>7 Tahun 10 Bulan </v>
      </c>
      <c r="AM61" s="99" t="s">
        <v>92</v>
      </c>
      <c r="AN61" s="95" t="s">
        <v>2922</v>
      </c>
      <c r="AO61" s="253" t="s">
        <v>3482</v>
      </c>
      <c r="AP61" s="97" t="s">
        <v>1659</v>
      </c>
      <c r="AQ61" s="99"/>
      <c r="AR61" s="99"/>
      <c r="AS61" s="99"/>
      <c r="AT61" s="99"/>
      <c r="AU61" s="99"/>
      <c r="AV61" s="99"/>
      <c r="AW61" s="98" t="s">
        <v>100</v>
      </c>
      <c r="AX61" s="97" t="s">
        <v>101</v>
      </c>
      <c r="AY61" s="280" t="s">
        <v>431</v>
      </c>
      <c r="AZ61" s="99"/>
      <c r="BA61" s="99"/>
      <c r="BB61" s="99" t="s">
        <v>346</v>
      </c>
      <c r="BC61" s="253" t="s">
        <v>1214</v>
      </c>
      <c r="BD61" s="96">
        <v>2</v>
      </c>
      <c r="BE61" s="96">
        <v>28</v>
      </c>
      <c r="BF61" s="96">
        <v>30</v>
      </c>
      <c r="BG61" s="99"/>
      <c r="BH61" s="96" t="s">
        <v>301</v>
      </c>
      <c r="BI61" s="97" t="s">
        <v>2582</v>
      </c>
      <c r="BJ61" s="99" t="s">
        <v>3478</v>
      </c>
      <c r="BK61" s="638" t="s">
        <v>3483</v>
      </c>
    </row>
    <row r="62" s="43" customFormat="1" spans="1:63">
      <c r="A62" s="10">
        <v>57</v>
      </c>
      <c r="B62" s="92"/>
      <c r="C62" s="97" t="s">
        <v>509</v>
      </c>
      <c r="D62" s="98" t="s">
        <v>76</v>
      </c>
      <c r="E62" s="99" t="s">
        <v>2569</v>
      </c>
      <c r="F62" s="95"/>
      <c r="G62" s="95" t="s">
        <v>3484</v>
      </c>
      <c r="H62" s="95"/>
      <c r="I62" s="102" t="str">
        <f t="shared" si="0"/>
        <v>Johri</v>
      </c>
      <c r="J62" s="95" t="s">
        <v>127</v>
      </c>
      <c r="K62" s="97" t="str">
        <f t="shared" si="10"/>
        <v>Laki-laki</v>
      </c>
      <c r="L62" s="95" t="s">
        <v>3485</v>
      </c>
      <c r="M62" s="164">
        <v>25854</v>
      </c>
      <c r="N62" s="170" t="str">
        <f ca="1" t="shared" si="11"/>
        <v>55 Tahun 0 Bulan </v>
      </c>
      <c r="O62" s="166">
        <v>25854</v>
      </c>
      <c r="P62" s="92">
        <f ca="1" t="shared" si="13"/>
        <v>55</v>
      </c>
      <c r="Q62" s="92" t="str">
        <f ca="1" t="shared" si="15"/>
        <v>OKE</v>
      </c>
      <c r="R62" s="682" t="s">
        <v>3486</v>
      </c>
      <c r="S62" s="95"/>
      <c r="T62" s="95"/>
      <c r="U62" s="95" t="s">
        <v>3487</v>
      </c>
      <c r="V62" s="190" t="s">
        <v>2936</v>
      </c>
      <c r="W62" s="95" t="s">
        <v>112</v>
      </c>
      <c r="X62" s="95" t="s">
        <v>1052</v>
      </c>
      <c r="Y62" s="683" t="s">
        <v>2574</v>
      </c>
      <c r="Z62" s="95"/>
      <c r="AA62" s="95"/>
      <c r="AB62" s="95" t="s">
        <v>1052</v>
      </c>
      <c r="AC62" s="96">
        <v>77375</v>
      </c>
      <c r="AD62" s="99" t="s">
        <v>1053</v>
      </c>
      <c r="AE62" s="95"/>
      <c r="AF62" s="683" t="s">
        <v>3488</v>
      </c>
      <c r="AG62" s="95"/>
      <c r="AH62" s="95"/>
      <c r="AI62" s="95"/>
      <c r="AJ62" s="170" t="s">
        <v>3489</v>
      </c>
      <c r="AK62" s="252">
        <v>42919</v>
      </c>
      <c r="AL62" s="155" t="str">
        <f ca="1" t="shared" si="4"/>
        <v>8 Tahun 4 Bulan </v>
      </c>
      <c r="AM62" s="99" t="s">
        <v>92</v>
      </c>
      <c r="AN62" s="95" t="s">
        <v>2922</v>
      </c>
      <c r="AO62" s="170" t="s">
        <v>3490</v>
      </c>
      <c r="AP62" s="170" t="s">
        <v>95</v>
      </c>
      <c r="AQ62" s="95" t="s">
        <v>3491</v>
      </c>
      <c r="AR62" s="95"/>
      <c r="AS62" s="95" t="s">
        <v>2076</v>
      </c>
      <c r="AT62" s="95"/>
      <c r="AU62" s="95"/>
      <c r="AV62" s="95"/>
      <c r="AW62" s="98" t="s">
        <v>100</v>
      </c>
      <c r="AX62" s="95" t="s">
        <v>860</v>
      </c>
      <c r="AY62" s="95"/>
      <c r="AZ62" s="95"/>
      <c r="BA62" s="95"/>
      <c r="BB62" s="95"/>
      <c r="BC62" s="170"/>
      <c r="BD62" s="95"/>
      <c r="BE62" s="95"/>
      <c r="BF62" s="92"/>
      <c r="BG62" s="95"/>
      <c r="BH62" s="92" t="s">
        <v>301</v>
      </c>
      <c r="BI62" s="97" t="s">
        <v>2582</v>
      </c>
      <c r="BJ62" s="291" t="s">
        <v>3484</v>
      </c>
      <c r="BK62" s="683" t="s">
        <v>3492</v>
      </c>
    </row>
    <row r="63" ht="38.45" customHeight="1" spans="1:63">
      <c r="A63" s="47">
        <v>58</v>
      </c>
      <c r="B63" s="49"/>
      <c r="C63" s="49" t="s">
        <v>2738</v>
      </c>
      <c r="D63" s="49" t="s">
        <v>2739</v>
      </c>
      <c r="E63" s="49" t="s">
        <v>2740</v>
      </c>
      <c r="F63" s="49" t="s">
        <v>156</v>
      </c>
      <c r="G63" s="100" t="s">
        <v>3493</v>
      </c>
      <c r="H63" s="49" t="s">
        <v>177</v>
      </c>
      <c r="I63" s="100" t="s">
        <v>3494</v>
      </c>
      <c r="J63" s="49" t="s">
        <v>127</v>
      </c>
      <c r="K63" s="171" t="str">
        <f t="shared" ref="K63" si="18">IF(J63="P","Perempuan",IF(J63="L","Laki-laki"))</f>
        <v>Laki-laki</v>
      </c>
      <c r="L63" s="49" t="s">
        <v>3495</v>
      </c>
      <c r="M63" s="172">
        <v>33659</v>
      </c>
      <c r="N63" s="155" t="str">
        <f ca="1" t="shared" ref="N63" si="19">+DATEDIF(M63,NOW(),"Y")&amp;" Tahun "&amp;+DATEDIF(M63,NOW(),"YM")&amp;" Bulan "</f>
        <v>33 Tahun 8 Bulan </v>
      </c>
      <c r="O63" s="173">
        <v>33659</v>
      </c>
      <c r="P63" s="49">
        <v>25</v>
      </c>
      <c r="Q63" s="105" t="str">
        <f t="shared" ref="Q63" si="20">IF(P63&gt;56,"Lewat","OKE")</f>
        <v>OKE</v>
      </c>
      <c r="R63" s="649" t="s">
        <v>3496</v>
      </c>
      <c r="S63" s="49" t="s">
        <v>156</v>
      </c>
      <c r="T63" s="49" t="s">
        <v>156</v>
      </c>
      <c r="U63" s="191" t="s">
        <v>2758</v>
      </c>
      <c r="V63" s="100" t="s">
        <v>2917</v>
      </c>
      <c r="W63" s="100" t="s">
        <v>112</v>
      </c>
      <c r="X63" s="49" t="s">
        <v>3497</v>
      </c>
      <c r="Y63" s="49">
        <v>3</v>
      </c>
      <c r="Z63" s="49" t="s">
        <v>156</v>
      </c>
      <c r="AA63" s="49" t="s">
        <v>156</v>
      </c>
      <c r="AB63" s="49" t="s">
        <v>3498</v>
      </c>
      <c r="AC63" s="49">
        <v>77372</v>
      </c>
      <c r="AD63" s="49" t="s">
        <v>1060</v>
      </c>
      <c r="AE63" s="49" t="s">
        <v>156</v>
      </c>
      <c r="AF63" s="649" t="s">
        <v>3499</v>
      </c>
      <c r="AG63" s="255" t="s">
        <v>3500</v>
      </c>
      <c r="AH63" s="49" t="s">
        <v>156</v>
      </c>
      <c r="AI63" s="49" t="s">
        <v>156</v>
      </c>
      <c r="AJ63" s="49" t="s">
        <v>3501</v>
      </c>
      <c r="AK63" s="172">
        <v>42943</v>
      </c>
      <c r="AL63" s="155" t="str">
        <f ca="1" t="shared" si="4"/>
        <v>8 Tahun 3 Bulan </v>
      </c>
      <c r="AM63" s="256" t="s">
        <v>92</v>
      </c>
      <c r="AN63" s="49" t="s">
        <v>2922</v>
      </c>
      <c r="AO63" s="49" t="s">
        <v>3502</v>
      </c>
      <c r="AP63" s="49" t="s">
        <v>95</v>
      </c>
      <c r="AQ63" s="49" t="s">
        <v>3503</v>
      </c>
      <c r="AR63" s="49" t="s">
        <v>156</v>
      </c>
      <c r="AS63" s="49" t="s">
        <v>941</v>
      </c>
      <c r="AT63" s="49" t="s">
        <v>156</v>
      </c>
      <c r="AU63" s="49" t="s">
        <v>156</v>
      </c>
      <c r="AV63" s="266" t="s">
        <v>3504</v>
      </c>
      <c r="AW63" s="49" t="s">
        <v>100</v>
      </c>
      <c r="AX63" s="49" t="s">
        <v>101</v>
      </c>
      <c r="AY63" s="49" t="s">
        <v>606</v>
      </c>
      <c r="AZ63" s="49" t="s">
        <v>156</v>
      </c>
      <c r="BA63" s="49" t="s">
        <v>156</v>
      </c>
      <c r="BB63" s="100" t="s">
        <v>156</v>
      </c>
      <c r="BC63" s="49" t="s">
        <v>3505</v>
      </c>
      <c r="BD63" s="49" t="s">
        <v>156</v>
      </c>
      <c r="BE63" s="49">
        <v>24</v>
      </c>
      <c r="BF63" s="49">
        <v>24</v>
      </c>
      <c r="BG63" s="49" t="s">
        <v>156</v>
      </c>
      <c r="BH63" s="256" t="s">
        <v>526</v>
      </c>
      <c r="BI63" s="49" t="s">
        <v>88</v>
      </c>
      <c r="BJ63" s="49" t="s">
        <v>3493</v>
      </c>
      <c r="BK63" s="649" t="s">
        <v>3506</v>
      </c>
    </row>
  </sheetData>
  <mergeCells count="3">
    <mergeCell ref="A1:BK1"/>
    <mergeCell ref="A2:BK2"/>
    <mergeCell ref="A3:BK3"/>
  </mergeCells>
  <hyperlinks>
    <hyperlink ref="AG7" r:id="rId2" display="rosadi.berau@gmail.com"/>
    <hyperlink ref="AG8" r:id="rId3" display="dita.trivera@gmail.com"/>
    <hyperlink ref="AG9" r:id="rId4" display="fitriani_endah@yahoo.com"/>
    <hyperlink ref="AG10" r:id="rId5" display="AminahR.Nyakman100@yahoo.com"/>
    <hyperlink ref="AG16" r:id="rId6" display="Edyberau99@gmail.com"/>
    <hyperlink ref="AG15" r:id="rId7" display="salimnurpermadi@gmail.com"/>
    <hyperlink ref="AG17" r:id="rId8" display="ikhsanatph8@gmail.com"/>
    <hyperlink ref="AG19" r:id="rId9" display="harmanmm0@gmail.com"/>
    <hyperlink ref="AG20" r:id="rId10" display="wandadaka@gmail.com"/>
    <hyperlink ref="AG32" r:id="rId11" display="iwan23isco@gmail.com"/>
    <hyperlink ref="AG31" r:id="rId12" display="memey_chan9118@yahoo.co.id"/>
    <hyperlink ref="AG27" r:id="rId13" display="Liyaninurul4@gmail.com"/>
    <hyperlink ref="AG30" r:id="rId14" display="nurmaindriyani93@gmail.com"/>
    <hyperlink ref="H33" r:id="rId15" display="S.Pd"/>
    <hyperlink ref="H34:H35" r:id="rId15" display="S.Pd"/>
    <hyperlink ref="H36" r:id="rId15" display="S.Pd"/>
    <hyperlink ref="AG35" r:id="rId16" display="DARNI.ELDA1992@gmail.com"/>
    <hyperlink ref="AG34" r:id="rId17" display="alpiusmarlinawati@yahoo.com"/>
    <hyperlink ref="AG37" r:id="rId18" display="samsuddinuddin367@gmail.com"/>
    <hyperlink ref="AG36" r:id="rId19" display="triningsihtri003@gmail.com"/>
    <hyperlink ref="AG38" r:id="rId20" display="vhyaochaa@yahoo.co.id"/>
    <hyperlink ref="AG39" r:id="rId21" display="jurnalis.math10@gmail.com"/>
    <hyperlink ref="AG40" r:id="rId22" display="anitahandayani1988@gmail.com"/>
    <hyperlink ref="AG44" r:id="rId23" display="wijayadody36@yahoo.co.id"/>
    <hyperlink ref="AG43" r:id="rId24" display="Rikaws85@yahoo.com"/>
    <hyperlink ref="AG41" r:id="rId25" display="sriewahyuni55@yahoo.com"/>
    <hyperlink ref="AG42" r:id="rId26" display="sulissetiowati375@gmail.com"/>
    <hyperlink ref="AG47" r:id="rId27" display="zhulfa95@gmail.com"/>
    <hyperlink ref="AG49" r:id="rId28" display="anismarsela815@gmail.com"/>
    <hyperlink ref="AG50" r:id="rId29" display="fadilah.agus@yahoo.com"/>
    <hyperlink ref="AG52" r:id="rId30" display="Dwisusilawati@yahoo.com"/>
    <hyperlink ref="AG53" r:id="rId31" display="jusmawati51@yahoo.co.id"/>
    <hyperlink ref="AG54" r:id="rId32" display="kaka_tini@yahoo.com"/>
    <hyperlink ref="AG59" r:id="rId33" display="ilyas333@gmail.com"/>
    <hyperlink ref="AG58" r:id="rId34" display="juhriisyah@gmail.com"/>
    <hyperlink ref="AG63" r:id="rId35" display="romandhonkardi@gmail.com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G1" workbookViewId="0">
      <selection activeCell="J6" sqref="J6:J15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4"/>
      <c r="T1" s="24"/>
      <c r="U1" s="24"/>
      <c r="V1" s="2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4" t="s">
        <v>3507</v>
      </c>
      <c r="T2" s="24" t="s">
        <v>40</v>
      </c>
      <c r="U2" s="24" t="s">
        <v>3508</v>
      </c>
      <c r="V2" s="24" t="s">
        <v>3509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5" t="s">
        <v>3510</v>
      </c>
      <c r="T3" s="25" t="s">
        <v>3511</v>
      </c>
      <c r="U3" s="25" t="s">
        <v>11</v>
      </c>
      <c r="V3" s="25" t="s">
        <v>3512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3513</v>
      </c>
      <c r="B5" s="6" t="s">
        <v>17</v>
      </c>
      <c r="C5" s="7" t="s">
        <v>18</v>
      </c>
      <c r="D5" s="7" t="s">
        <v>19</v>
      </c>
      <c r="E5" s="7" t="s">
        <v>22</v>
      </c>
      <c r="F5" s="7" t="s">
        <v>23</v>
      </c>
      <c r="G5" s="8" t="s">
        <v>24</v>
      </c>
      <c r="H5" s="6" t="s">
        <v>28</v>
      </c>
      <c r="I5" s="6" t="s">
        <v>29</v>
      </c>
      <c r="J5" s="6" t="s">
        <v>3514</v>
      </c>
      <c r="K5" s="6" t="s">
        <v>30</v>
      </c>
      <c r="L5" s="6" t="s">
        <v>3515</v>
      </c>
      <c r="M5" s="7" t="s">
        <v>31</v>
      </c>
      <c r="N5" s="7" t="s">
        <v>33</v>
      </c>
      <c r="O5" s="6" t="s">
        <v>34</v>
      </c>
      <c r="P5" s="6" t="s">
        <v>35</v>
      </c>
      <c r="Q5" s="6" t="s">
        <v>36</v>
      </c>
      <c r="R5" s="6" t="s">
        <v>37</v>
      </c>
      <c r="S5" s="26" t="s">
        <v>3507</v>
      </c>
      <c r="T5" s="26" t="s">
        <v>40</v>
      </c>
      <c r="U5" s="26" t="s">
        <v>3508</v>
      </c>
      <c r="V5" s="26" t="s">
        <v>3509</v>
      </c>
      <c r="W5" s="8" t="s">
        <v>39</v>
      </c>
      <c r="X5" s="6" t="s">
        <v>41</v>
      </c>
      <c r="Y5" s="8" t="s">
        <v>42</v>
      </c>
      <c r="Z5" s="7" t="s">
        <v>43</v>
      </c>
      <c r="AA5" s="6" t="s">
        <v>44</v>
      </c>
      <c r="AB5" s="6" t="s">
        <v>45</v>
      </c>
      <c r="AC5" s="7" t="s">
        <v>46</v>
      </c>
      <c r="AD5" s="7" t="s">
        <v>47</v>
      </c>
      <c r="AE5" s="7" t="s">
        <v>49</v>
      </c>
      <c r="AF5" s="7" t="s">
        <v>50</v>
      </c>
      <c r="AG5" s="6" t="s">
        <v>51</v>
      </c>
      <c r="AH5" s="8" t="s">
        <v>52</v>
      </c>
      <c r="AI5" s="7" t="s">
        <v>53</v>
      </c>
      <c r="AJ5" s="6" t="s">
        <v>54</v>
      </c>
      <c r="AK5" s="7" t="s">
        <v>55</v>
      </c>
      <c r="AL5" s="6" t="s">
        <v>56</v>
      </c>
      <c r="AM5" s="7" t="s">
        <v>57</v>
      </c>
      <c r="AN5" s="6" t="s">
        <v>58</v>
      </c>
      <c r="AO5" s="7" t="s">
        <v>59</v>
      </c>
      <c r="AP5" s="7" t="s">
        <v>60</v>
      </c>
      <c r="AQ5" s="7" t="s">
        <v>61</v>
      </c>
      <c r="AR5" s="6" t="s">
        <v>62</v>
      </c>
      <c r="AS5" s="6" t="s">
        <v>63</v>
      </c>
      <c r="AT5" s="6" t="s">
        <v>70</v>
      </c>
      <c r="AU5" s="6" t="s">
        <v>73</v>
      </c>
      <c r="AV5" s="7" t="s">
        <v>71</v>
      </c>
      <c r="AW5" s="6" t="s">
        <v>72</v>
      </c>
      <c r="AX5" s="7" t="s">
        <v>3516</v>
      </c>
      <c r="AY5" s="6" t="s">
        <v>3517</v>
      </c>
      <c r="AZ5" s="7" t="s">
        <v>64</v>
      </c>
      <c r="BA5" s="7" t="s">
        <v>3518</v>
      </c>
      <c r="BB5" s="6" t="s">
        <v>65</v>
      </c>
      <c r="BC5" s="6" t="s">
        <v>66</v>
      </c>
      <c r="BD5" s="6" t="s">
        <v>67</v>
      </c>
      <c r="BE5" s="6" t="s">
        <v>68</v>
      </c>
      <c r="BF5" s="6" t="s">
        <v>69</v>
      </c>
    </row>
    <row r="6" spans="1:58">
      <c r="A6" s="9" t="s">
        <v>3519</v>
      </c>
      <c r="B6" s="10"/>
      <c r="C6" s="11" t="s">
        <v>3520</v>
      </c>
      <c r="D6" s="10" t="s">
        <v>177</v>
      </c>
      <c r="E6" s="10" t="s">
        <v>80</v>
      </c>
      <c r="F6" s="12" t="s">
        <v>3521</v>
      </c>
      <c r="G6" s="13">
        <v>25700</v>
      </c>
      <c r="H6" s="684" t="s">
        <v>3522</v>
      </c>
      <c r="I6" s="20" t="s">
        <v>3523</v>
      </c>
      <c r="J6" s="21" t="s">
        <v>3524</v>
      </c>
      <c r="K6" s="20" t="s">
        <v>3525</v>
      </c>
      <c r="L6" s="20" t="s">
        <v>3525</v>
      </c>
      <c r="M6" s="22" t="s">
        <v>83</v>
      </c>
      <c r="N6" s="10" t="s">
        <v>516</v>
      </c>
      <c r="O6" s="10" t="s">
        <v>1332</v>
      </c>
      <c r="P6" s="10">
        <v>27</v>
      </c>
      <c r="Q6" s="10">
        <v>4</v>
      </c>
      <c r="R6" s="10"/>
      <c r="S6" s="27" t="s">
        <v>3510</v>
      </c>
      <c r="T6" s="27" t="s">
        <v>3511</v>
      </c>
      <c r="U6" s="27" t="s">
        <v>11</v>
      </c>
      <c r="V6" s="27" t="s">
        <v>3512</v>
      </c>
      <c r="W6" s="10">
        <v>77311</v>
      </c>
      <c r="X6" s="10"/>
      <c r="Y6" s="684" t="s">
        <v>3526</v>
      </c>
      <c r="Z6" s="28" t="s">
        <v>3527</v>
      </c>
      <c r="AA6" s="10" t="s">
        <v>3528</v>
      </c>
      <c r="AB6" s="29">
        <v>38462</v>
      </c>
      <c r="AC6" s="12" t="s">
        <v>3529</v>
      </c>
      <c r="AD6" s="29">
        <v>38384</v>
      </c>
      <c r="AE6" s="10" t="s">
        <v>2864</v>
      </c>
      <c r="AF6" s="10" t="s">
        <v>3530</v>
      </c>
      <c r="AG6" s="10" t="s">
        <v>3531</v>
      </c>
      <c r="AH6" s="10" t="s">
        <v>95</v>
      </c>
      <c r="AI6" s="10" t="s">
        <v>3532</v>
      </c>
      <c r="AJ6" s="10"/>
      <c r="AK6" s="10" t="s">
        <v>2076</v>
      </c>
      <c r="AL6" s="29">
        <v>38749</v>
      </c>
      <c r="AM6" s="10"/>
      <c r="AN6" s="10" t="s">
        <v>3533</v>
      </c>
      <c r="AO6" s="33" t="s">
        <v>100</v>
      </c>
      <c r="AP6" s="33" t="s">
        <v>101</v>
      </c>
      <c r="AQ6" s="12" t="s">
        <v>3534</v>
      </c>
      <c r="AR6" s="17">
        <v>220</v>
      </c>
      <c r="AS6" s="17">
        <v>451022000438</v>
      </c>
      <c r="AT6" s="34" t="s">
        <v>3535</v>
      </c>
      <c r="AU6" s="20" t="s">
        <v>3536</v>
      </c>
      <c r="AV6" s="10" t="s">
        <v>88</v>
      </c>
      <c r="AW6" s="37" t="s">
        <v>3537</v>
      </c>
      <c r="AX6" s="10"/>
      <c r="AY6" s="37"/>
      <c r="AZ6" s="12" t="s">
        <v>235</v>
      </c>
      <c r="BA6" s="12" t="s">
        <v>3538</v>
      </c>
      <c r="BB6" s="12" t="s">
        <v>347</v>
      </c>
      <c r="BC6" s="12"/>
      <c r="BD6" s="12">
        <v>27</v>
      </c>
      <c r="BE6" s="12">
        <v>27</v>
      </c>
      <c r="BF6" s="39" t="s">
        <v>345</v>
      </c>
    </row>
    <row r="7" spans="1:58">
      <c r="A7" s="9" t="s">
        <v>3519</v>
      </c>
      <c r="B7" s="10"/>
      <c r="C7" s="14" t="s">
        <v>819</v>
      </c>
      <c r="D7" s="10"/>
      <c r="E7" s="10" t="s">
        <v>127</v>
      </c>
      <c r="F7" s="12" t="s">
        <v>2355</v>
      </c>
      <c r="G7" s="685" t="s">
        <v>3539</v>
      </c>
      <c r="H7" s="686" t="s">
        <v>3540</v>
      </c>
      <c r="I7" s="23" t="s">
        <v>3541</v>
      </c>
      <c r="J7" s="21" t="s">
        <v>3524</v>
      </c>
      <c r="K7" s="10"/>
      <c r="L7" s="10"/>
      <c r="M7" s="22" t="s">
        <v>750</v>
      </c>
      <c r="N7" s="10" t="s">
        <v>112</v>
      </c>
      <c r="O7" s="10" t="s">
        <v>3542</v>
      </c>
      <c r="P7" s="10">
        <v>10</v>
      </c>
      <c r="Q7" s="10"/>
      <c r="R7" s="10"/>
      <c r="S7" s="27" t="s">
        <v>3510</v>
      </c>
      <c r="T7" s="27" t="s">
        <v>3511</v>
      </c>
      <c r="U7" s="27" t="s">
        <v>11</v>
      </c>
      <c r="V7" s="27" t="s">
        <v>3512</v>
      </c>
      <c r="W7" s="10"/>
      <c r="X7" s="10"/>
      <c r="Y7" s="687" t="s">
        <v>3543</v>
      </c>
      <c r="Z7" s="28" t="s">
        <v>3544</v>
      </c>
      <c r="AA7" s="10" t="s">
        <v>3545</v>
      </c>
      <c r="AB7" s="29">
        <v>39384</v>
      </c>
      <c r="AC7" s="10" t="s">
        <v>3545</v>
      </c>
      <c r="AD7" s="29">
        <v>39083</v>
      </c>
      <c r="AE7" s="10" t="s">
        <v>2864</v>
      </c>
      <c r="AF7" s="10" t="s">
        <v>3530</v>
      </c>
      <c r="AG7" s="10" t="s">
        <v>1464</v>
      </c>
      <c r="AH7" s="10" t="s">
        <v>95</v>
      </c>
      <c r="AI7" s="10" t="s">
        <v>3546</v>
      </c>
      <c r="AJ7" s="10"/>
      <c r="AK7" s="10" t="s">
        <v>941</v>
      </c>
      <c r="AL7" s="29">
        <v>39783</v>
      </c>
      <c r="AM7" s="10"/>
      <c r="AN7" s="10" t="s">
        <v>3547</v>
      </c>
      <c r="AO7" s="33" t="s">
        <v>100</v>
      </c>
      <c r="AP7" s="33" t="s">
        <v>120</v>
      </c>
      <c r="AQ7" s="12" t="s">
        <v>484</v>
      </c>
      <c r="AR7" s="10"/>
      <c r="AS7" s="10"/>
      <c r="AT7" s="34" t="s">
        <v>3535</v>
      </c>
      <c r="AU7" s="550" t="s">
        <v>3548</v>
      </c>
      <c r="AV7" s="10" t="s">
        <v>88</v>
      </c>
      <c r="AW7" s="38" t="s">
        <v>826</v>
      </c>
      <c r="AX7" s="10"/>
      <c r="AY7" s="38"/>
      <c r="AZ7" s="12"/>
      <c r="BA7" s="12" t="s">
        <v>3538</v>
      </c>
      <c r="BB7" s="12"/>
      <c r="BC7" s="12"/>
      <c r="BD7" s="12"/>
      <c r="BE7" s="12"/>
      <c r="BF7" s="10"/>
    </row>
    <row r="8" spans="1:58">
      <c r="A8" s="9" t="s">
        <v>3519</v>
      </c>
      <c r="B8" s="10" t="s">
        <v>3549</v>
      </c>
      <c r="C8" s="11" t="s">
        <v>3550</v>
      </c>
      <c r="D8" s="10"/>
      <c r="E8" s="10" t="s">
        <v>127</v>
      </c>
      <c r="F8" s="12" t="s">
        <v>3551</v>
      </c>
      <c r="G8" s="13">
        <v>24156</v>
      </c>
      <c r="H8" s="687" t="s">
        <v>3552</v>
      </c>
      <c r="I8" s="20" t="s">
        <v>3553</v>
      </c>
      <c r="J8" s="21" t="s">
        <v>3524</v>
      </c>
      <c r="K8" s="20" t="s">
        <v>3554</v>
      </c>
      <c r="L8" s="20" t="s">
        <v>3554</v>
      </c>
      <c r="M8" s="22" t="s">
        <v>83</v>
      </c>
      <c r="N8" s="10" t="s">
        <v>112</v>
      </c>
      <c r="O8" s="10" t="s">
        <v>3555</v>
      </c>
      <c r="P8" s="10">
        <v>13</v>
      </c>
      <c r="Q8" s="10"/>
      <c r="R8" s="10"/>
      <c r="S8" s="27" t="s">
        <v>3510</v>
      </c>
      <c r="T8" s="27" t="s">
        <v>3511</v>
      </c>
      <c r="U8" s="27" t="s">
        <v>11</v>
      </c>
      <c r="V8" s="27" t="s">
        <v>3512</v>
      </c>
      <c r="W8" s="10">
        <v>77311</v>
      </c>
      <c r="X8" s="10"/>
      <c r="Y8" s="684" t="s">
        <v>3556</v>
      </c>
      <c r="Z8" s="28" t="s">
        <v>3557</v>
      </c>
      <c r="AA8" s="10" t="s">
        <v>3558</v>
      </c>
      <c r="AB8" s="29">
        <v>35026</v>
      </c>
      <c r="AC8" s="12" t="s">
        <v>3558</v>
      </c>
      <c r="AD8" s="29">
        <v>35034</v>
      </c>
      <c r="AE8" s="10" t="s">
        <v>3559</v>
      </c>
      <c r="AF8" s="10" t="s">
        <v>3530</v>
      </c>
      <c r="AG8" s="10" t="s">
        <v>3560</v>
      </c>
      <c r="AH8" s="10" t="s">
        <v>95</v>
      </c>
      <c r="AI8" s="10" t="s">
        <v>3561</v>
      </c>
      <c r="AJ8" s="687" t="s">
        <v>3562</v>
      </c>
      <c r="AK8" s="10" t="s">
        <v>98</v>
      </c>
      <c r="AL8" s="29">
        <v>35490</v>
      </c>
      <c r="AM8" s="10"/>
      <c r="AN8" s="10" t="s">
        <v>3563</v>
      </c>
      <c r="AO8" s="33" t="s">
        <v>100</v>
      </c>
      <c r="AP8" s="33" t="s">
        <v>101</v>
      </c>
      <c r="AQ8" s="12" t="s">
        <v>1256</v>
      </c>
      <c r="AR8" s="35">
        <v>210</v>
      </c>
      <c r="AS8" s="17">
        <v>190821003761</v>
      </c>
      <c r="AT8" s="34" t="s">
        <v>3535</v>
      </c>
      <c r="AU8" s="20" t="s">
        <v>3564</v>
      </c>
      <c r="AV8" s="10" t="s">
        <v>88</v>
      </c>
      <c r="AW8" s="37" t="s">
        <v>3565</v>
      </c>
      <c r="AX8" s="10"/>
      <c r="AY8" s="37"/>
      <c r="AZ8" s="12" t="s">
        <v>2127</v>
      </c>
      <c r="BA8" s="12" t="s">
        <v>3538</v>
      </c>
      <c r="BB8" s="12" t="s">
        <v>3566</v>
      </c>
      <c r="BC8" s="12">
        <v>12</v>
      </c>
      <c r="BD8" s="12">
        <v>21</v>
      </c>
      <c r="BE8" s="12">
        <v>33</v>
      </c>
      <c r="BF8" s="39" t="s">
        <v>563</v>
      </c>
    </row>
    <row r="9" spans="1:58">
      <c r="A9" s="9" t="s">
        <v>3519</v>
      </c>
      <c r="B9" s="10"/>
      <c r="C9" s="11" t="s">
        <v>3567</v>
      </c>
      <c r="D9" s="10" t="s">
        <v>177</v>
      </c>
      <c r="E9" s="10" t="s">
        <v>127</v>
      </c>
      <c r="F9" s="12" t="s">
        <v>3568</v>
      </c>
      <c r="G9" s="18">
        <v>22855</v>
      </c>
      <c r="H9" s="684" t="s">
        <v>3569</v>
      </c>
      <c r="I9" s="20" t="s">
        <v>3570</v>
      </c>
      <c r="J9" s="21" t="s">
        <v>3524</v>
      </c>
      <c r="K9" s="20" t="s">
        <v>3571</v>
      </c>
      <c r="L9" s="20" t="s">
        <v>3571</v>
      </c>
      <c r="M9" s="22" t="s">
        <v>83</v>
      </c>
      <c r="N9" s="10" t="s">
        <v>2634</v>
      </c>
      <c r="O9" s="10" t="s">
        <v>3572</v>
      </c>
      <c r="P9" s="10">
        <v>10</v>
      </c>
      <c r="Q9" s="10"/>
      <c r="R9" s="10"/>
      <c r="S9" s="27" t="s">
        <v>3510</v>
      </c>
      <c r="T9" s="27" t="s">
        <v>3511</v>
      </c>
      <c r="U9" s="27" t="s">
        <v>11</v>
      </c>
      <c r="V9" s="27" t="s">
        <v>3512</v>
      </c>
      <c r="W9" s="10">
        <v>77311</v>
      </c>
      <c r="X9" s="10"/>
      <c r="Y9" s="684" t="s">
        <v>3573</v>
      </c>
      <c r="Z9" s="28" t="s">
        <v>3574</v>
      </c>
      <c r="AA9" s="10" t="s">
        <v>3575</v>
      </c>
      <c r="AB9" s="29">
        <v>31569</v>
      </c>
      <c r="AC9" s="12" t="s">
        <v>3576</v>
      </c>
      <c r="AD9" s="29">
        <v>31382</v>
      </c>
      <c r="AE9" s="10" t="s">
        <v>3559</v>
      </c>
      <c r="AF9" s="10" t="s">
        <v>3530</v>
      </c>
      <c r="AG9" s="10" t="s">
        <v>3577</v>
      </c>
      <c r="AH9" s="10" t="s">
        <v>95</v>
      </c>
      <c r="AI9" s="10" t="s">
        <v>3578</v>
      </c>
      <c r="AJ9" s="10"/>
      <c r="AK9" s="10" t="s">
        <v>3579</v>
      </c>
      <c r="AL9" s="29">
        <v>32203</v>
      </c>
      <c r="AM9" s="10"/>
      <c r="AN9" s="10" t="s">
        <v>3580</v>
      </c>
      <c r="AO9" s="33" t="s">
        <v>100</v>
      </c>
      <c r="AP9" s="33" t="s">
        <v>101</v>
      </c>
      <c r="AQ9" s="12" t="s">
        <v>619</v>
      </c>
      <c r="AR9" s="17">
        <v>187</v>
      </c>
      <c r="AS9" s="17">
        <v>190818701971</v>
      </c>
      <c r="AT9" s="34" t="s">
        <v>3535</v>
      </c>
      <c r="AU9" s="20" t="s">
        <v>3581</v>
      </c>
      <c r="AV9" s="10" t="s">
        <v>88</v>
      </c>
      <c r="AW9" s="37" t="s">
        <v>3582</v>
      </c>
      <c r="AX9" s="10"/>
      <c r="AY9" s="37"/>
      <c r="AZ9" s="12" t="s">
        <v>3583</v>
      </c>
      <c r="BA9" s="12" t="s">
        <v>3538</v>
      </c>
      <c r="BB9" s="12" t="s">
        <v>620</v>
      </c>
      <c r="BC9" s="12">
        <v>12</v>
      </c>
      <c r="BD9" s="12">
        <v>12</v>
      </c>
      <c r="BE9" s="12">
        <v>24</v>
      </c>
      <c r="BF9" s="10" t="s">
        <v>620</v>
      </c>
    </row>
    <row r="10" spans="1:58">
      <c r="A10" s="9" t="s">
        <v>3519</v>
      </c>
      <c r="B10" s="10"/>
      <c r="C10" s="11" t="s">
        <v>3584</v>
      </c>
      <c r="D10" s="10" t="s">
        <v>177</v>
      </c>
      <c r="E10" s="10" t="s">
        <v>80</v>
      </c>
      <c r="F10" s="12" t="s">
        <v>3585</v>
      </c>
      <c r="G10" s="685" t="s">
        <v>3586</v>
      </c>
      <c r="H10" s="684" t="s">
        <v>3587</v>
      </c>
      <c r="I10" s="20" t="s">
        <v>3588</v>
      </c>
      <c r="J10" s="21" t="s">
        <v>3524</v>
      </c>
      <c r="K10" s="20" t="s">
        <v>3589</v>
      </c>
      <c r="L10" s="20" t="s">
        <v>3589</v>
      </c>
      <c r="M10" s="22" t="s">
        <v>83</v>
      </c>
      <c r="N10" s="10" t="s">
        <v>112</v>
      </c>
      <c r="O10" s="10" t="s">
        <v>3590</v>
      </c>
      <c r="P10" s="10">
        <v>4</v>
      </c>
      <c r="Q10" s="10"/>
      <c r="R10" s="10"/>
      <c r="S10" s="27" t="s">
        <v>3510</v>
      </c>
      <c r="T10" s="27" t="s">
        <v>3511</v>
      </c>
      <c r="U10" s="27" t="s">
        <v>11</v>
      </c>
      <c r="V10" s="27" t="s">
        <v>3512</v>
      </c>
      <c r="W10" s="10">
        <v>77311</v>
      </c>
      <c r="X10" s="10"/>
      <c r="Y10" s="684" t="s">
        <v>3591</v>
      </c>
      <c r="Z10" s="28" t="s">
        <v>3592</v>
      </c>
      <c r="AA10" s="10" t="s">
        <v>3593</v>
      </c>
      <c r="AB10" s="29">
        <v>37991</v>
      </c>
      <c r="AC10" s="12" t="s">
        <v>3594</v>
      </c>
      <c r="AD10" s="29">
        <v>37956</v>
      </c>
      <c r="AE10" s="10" t="s">
        <v>2864</v>
      </c>
      <c r="AF10" s="10" t="s">
        <v>3530</v>
      </c>
      <c r="AG10" s="10" t="s">
        <v>3595</v>
      </c>
      <c r="AH10" s="10" t="s">
        <v>95</v>
      </c>
      <c r="AI10" s="10" t="s">
        <v>3596</v>
      </c>
      <c r="AJ10" s="684" t="s">
        <v>3597</v>
      </c>
      <c r="AK10" s="10" t="s">
        <v>98</v>
      </c>
      <c r="AL10" s="29">
        <v>38322</v>
      </c>
      <c r="AM10" s="10"/>
      <c r="AN10" s="10" t="s">
        <v>3598</v>
      </c>
      <c r="AO10" s="33" t="s">
        <v>100</v>
      </c>
      <c r="AP10" s="33" t="s">
        <v>101</v>
      </c>
      <c r="AQ10" s="12" t="s">
        <v>1007</v>
      </c>
      <c r="AR10" s="17">
        <v>180</v>
      </c>
      <c r="AS10" s="17">
        <v>450918000010</v>
      </c>
      <c r="AT10" s="34" t="s">
        <v>3535</v>
      </c>
      <c r="AU10" s="20" t="s">
        <v>3599</v>
      </c>
      <c r="AV10" s="10" t="s">
        <v>88</v>
      </c>
      <c r="AW10" s="37" t="s">
        <v>3600</v>
      </c>
      <c r="AX10" s="10"/>
      <c r="AY10" s="37"/>
      <c r="AZ10" s="12"/>
      <c r="BA10" s="12" t="s">
        <v>3538</v>
      </c>
      <c r="BB10" s="12" t="s">
        <v>3601</v>
      </c>
      <c r="BC10" s="12"/>
      <c r="BD10" s="12">
        <v>24</v>
      </c>
      <c r="BE10" s="12">
        <v>24</v>
      </c>
      <c r="BF10" s="12" t="s">
        <v>686</v>
      </c>
    </row>
    <row r="11" spans="1:58">
      <c r="A11" s="9" t="s">
        <v>3519</v>
      </c>
      <c r="B11" s="10"/>
      <c r="C11" s="11" t="s">
        <v>3602</v>
      </c>
      <c r="D11" s="10" t="s">
        <v>177</v>
      </c>
      <c r="E11" s="10" t="s">
        <v>80</v>
      </c>
      <c r="F11" s="12" t="s">
        <v>88</v>
      </c>
      <c r="G11" s="13">
        <v>29355</v>
      </c>
      <c r="H11" s="684" t="s">
        <v>3603</v>
      </c>
      <c r="I11" s="20" t="s">
        <v>3604</v>
      </c>
      <c r="J11" s="21" t="s">
        <v>3524</v>
      </c>
      <c r="K11" s="20" t="s">
        <v>3605</v>
      </c>
      <c r="L11" s="20" t="s">
        <v>3605</v>
      </c>
      <c r="M11" s="22" t="s">
        <v>83</v>
      </c>
      <c r="N11" s="10" t="s">
        <v>112</v>
      </c>
      <c r="O11" s="10" t="s">
        <v>3606</v>
      </c>
      <c r="P11" s="10">
        <v>14</v>
      </c>
      <c r="Q11" s="10"/>
      <c r="R11" s="10"/>
      <c r="S11" s="27" t="s">
        <v>3510</v>
      </c>
      <c r="T11" s="27" t="s">
        <v>3511</v>
      </c>
      <c r="U11" s="27" t="s">
        <v>11</v>
      </c>
      <c r="V11" s="27" t="s">
        <v>3512</v>
      </c>
      <c r="W11" s="10">
        <v>77315</v>
      </c>
      <c r="X11" s="10"/>
      <c r="Y11" s="684" t="s">
        <v>3607</v>
      </c>
      <c r="Z11" s="28" t="s">
        <v>3608</v>
      </c>
      <c r="AA11" s="10" t="s">
        <v>3609</v>
      </c>
      <c r="AB11" s="29">
        <v>38808</v>
      </c>
      <c r="AC11" s="10" t="s">
        <v>3609</v>
      </c>
      <c r="AD11" s="29">
        <v>38808</v>
      </c>
      <c r="AE11" s="10" t="s">
        <v>2864</v>
      </c>
      <c r="AF11" s="10" t="s">
        <v>3530</v>
      </c>
      <c r="AG11" s="10" t="s">
        <v>3610</v>
      </c>
      <c r="AH11" s="10" t="s">
        <v>95</v>
      </c>
      <c r="AI11" s="10" t="s">
        <v>3611</v>
      </c>
      <c r="AJ11" s="10"/>
      <c r="AK11" s="10" t="s">
        <v>188</v>
      </c>
      <c r="AL11" s="29">
        <v>39387</v>
      </c>
      <c r="AM11" s="10"/>
      <c r="AN11" s="10" t="s">
        <v>3612</v>
      </c>
      <c r="AO11" s="33" t="s">
        <v>100</v>
      </c>
      <c r="AP11" s="33" t="s">
        <v>101</v>
      </c>
      <c r="AQ11" s="12" t="s">
        <v>619</v>
      </c>
      <c r="AR11" s="17">
        <v>187</v>
      </c>
      <c r="AS11" s="17">
        <v>1451118700788</v>
      </c>
      <c r="AT11" s="34" t="s">
        <v>3535</v>
      </c>
      <c r="AU11" s="20" t="s">
        <v>3613</v>
      </c>
      <c r="AV11" s="10" t="s">
        <v>88</v>
      </c>
      <c r="AW11" s="37" t="s">
        <v>3614</v>
      </c>
      <c r="AX11" s="10"/>
      <c r="AY11" s="37"/>
      <c r="AZ11" s="12"/>
      <c r="BA11" s="12" t="s">
        <v>3538</v>
      </c>
      <c r="BB11" s="12" t="s">
        <v>620</v>
      </c>
      <c r="BC11" s="12"/>
      <c r="BD11" s="12">
        <v>27</v>
      </c>
      <c r="BE11" s="12">
        <v>27</v>
      </c>
      <c r="BF11" s="10" t="s">
        <v>620</v>
      </c>
    </row>
    <row r="12" spans="1:58">
      <c r="A12" s="9" t="s">
        <v>3519</v>
      </c>
      <c r="B12" s="10"/>
      <c r="C12" s="11" t="s">
        <v>3615</v>
      </c>
      <c r="D12" s="10" t="s">
        <v>177</v>
      </c>
      <c r="E12" s="10" t="s">
        <v>80</v>
      </c>
      <c r="F12" s="12" t="s">
        <v>3616</v>
      </c>
      <c r="G12" s="13">
        <v>25335</v>
      </c>
      <c r="H12" s="684" t="s">
        <v>3617</v>
      </c>
      <c r="I12" s="20" t="s">
        <v>3618</v>
      </c>
      <c r="J12" s="21" t="s">
        <v>3524</v>
      </c>
      <c r="K12" s="20" t="s">
        <v>3619</v>
      </c>
      <c r="L12" s="20" t="s">
        <v>3619</v>
      </c>
      <c r="M12" s="22" t="s">
        <v>83</v>
      </c>
      <c r="N12" s="10" t="s">
        <v>112</v>
      </c>
      <c r="O12" s="10" t="s">
        <v>3620</v>
      </c>
      <c r="P12" s="10">
        <v>12</v>
      </c>
      <c r="Q12" s="10"/>
      <c r="R12" s="10"/>
      <c r="S12" s="27" t="s">
        <v>3510</v>
      </c>
      <c r="T12" s="27" t="s">
        <v>3511</v>
      </c>
      <c r="U12" s="27" t="s">
        <v>11</v>
      </c>
      <c r="V12" s="27" t="s">
        <v>3512</v>
      </c>
      <c r="W12" s="10">
        <v>77311</v>
      </c>
      <c r="X12" s="10"/>
      <c r="Y12" s="684" t="s">
        <v>3621</v>
      </c>
      <c r="Z12" s="28" t="s">
        <v>3622</v>
      </c>
      <c r="AA12" s="10" t="s">
        <v>3623</v>
      </c>
      <c r="AB12" s="29">
        <v>33862</v>
      </c>
      <c r="AC12" s="12" t="s">
        <v>3624</v>
      </c>
      <c r="AD12" s="29">
        <v>33664</v>
      </c>
      <c r="AE12" s="10" t="s">
        <v>3559</v>
      </c>
      <c r="AF12" s="10" t="s">
        <v>3530</v>
      </c>
      <c r="AG12" s="10" t="s">
        <v>3625</v>
      </c>
      <c r="AH12" s="10" t="s">
        <v>95</v>
      </c>
      <c r="AI12" s="10" t="s">
        <v>3626</v>
      </c>
      <c r="AJ12" s="10"/>
      <c r="AK12" s="10" t="s">
        <v>155</v>
      </c>
      <c r="AL12" s="29">
        <v>34516</v>
      </c>
      <c r="AM12" s="10"/>
      <c r="AN12" s="10" t="s">
        <v>3627</v>
      </c>
      <c r="AO12" s="33" t="s">
        <v>100</v>
      </c>
      <c r="AP12" s="33" t="s">
        <v>101</v>
      </c>
      <c r="AQ12" s="12" t="s">
        <v>550</v>
      </c>
      <c r="AR12" s="17">
        <v>157</v>
      </c>
      <c r="AS12" s="17">
        <v>190815703754</v>
      </c>
      <c r="AT12" s="34" t="s">
        <v>3535</v>
      </c>
      <c r="AU12" s="20" t="s">
        <v>3628</v>
      </c>
      <c r="AV12" s="10" t="s">
        <v>88</v>
      </c>
      <c r="AW12" s="37" t="s">
        <v>3629</v>
      </c>
      <c r="AX12" s="10"/>
      <c r="AY12" s="37"/>
      <c r="AZ12" s="12"/>
      <c r="BA12" s="12" t="s">
        <v>3538</v>
      </c>
      <c r="BB12" s="12" t="s">
        <v>3630</v>
      </c>
      <c r="BC12" s="12"/>
      <c r="BD12" s="12">
        <v>24</v>
      </c>
      <c r="BE12" s="12">
        <v>24</v>
      </c>
      <c r="BF12" s="12" t="s">
        <v>330</v>
      </c>
    </row>
    <row r="13" spans="1:58">
      <c r="A13" s="9" t="s">
        <v>3519</v>
      </c>
      <c r="B13" s="10" t="s">
        <v>3631</v>
      </c>
      <c r="C13" s="11" t="s">
        <v>3632</v>
      </c>
      <c r="D13" s="10" t="s">
        <v>2988</v>
      </c>
      <c r="E13" s="10" t="s">
        <v>80</v>
      </c>
      <c r="F13" s="12" t="s">
        <v>3633</v>
      </c>
      <c r="G13" s="13">
        <v>25405</v>
      </c>
      <c r="H13" s="10" t="s">
        <v>3634</v>
      </c>
      <c r="I13" s="20" t="s">
        <v>3635</v>
      </c>
      <c r="J13" s="21" t="s">
        <v>3524</v>
      </c>
      <c r="K13" s="20" t="s">
        <v>3636</v>
      </c>
      <c r="L13" s="20" t="s">
        <v>3636</v>
      </c>
      <c r="M13" s="22" t="s">
        <v>83</v>
      </c>
      <c r="N13" s="10" t="s">
        <v>2643</v>
      </c>
      <c r="O13" s="10" t="s">
        <v>3637</v>
      </c>
      <c r="P13" s="10">
        <v>21</v>
      </c>
      <c r="Q13" s="10"/>
      <c r="R13" s="10"/>
      <c r="S13" s="27" t="s">
        <v>3510</v>
      </c>
      <c r="T13" s="27" t="s">
        <v>3511</v>
      </c>
      <c r="U13" s="27" t="s">
        <v>11</v>
      </c>
      <c r="V13" s="27" t="s">
        <v>3512</v>
      </c>
      <c r="W13" s="10"/>
      <c r="X13" s="10"/>
      <c r="Y13" s="10" t="s">
        <v>3638</v>
      </c>
      <c r="Z13" s="30" t="s">
        <v>3639</v>
      </c>
      <c r="AA13" s="10" t="s">
        <v>3640</v>
      </c>
      <c r="AB13" s="29">
        <v>37214</v>
      </c>
      <c r="AC13" s="10" t="s">
        <v>3640</v>
      </c>
      <c r="AD13" s="29">
        <v>36861</v>
      </c>
      <c r="AE13" s="10" t="s">
        <v>3641</v>
      </c>
      <c r="AF13" s="10" t="s">
        <v>3530</v>
      </c>
      <c r="AG13" s="12" t="s">
        <v>3642</v>
      </c>
      <c r="AH13" s="10" t="s">
        <v>95</v>
      </c>
      <c r="AI13" s="12" t="s">
        <v>3643</v>
      </c>
      <c r="AJ13" s="12" t="s">
        <v>3644</v>
      </c>
      <c r="AK13" s="12" t="s">
        <v>3645</v>
      </c>
      <c r="AL13" s="31">
        <v>37226</v>
      </c>
      <c r="AM13" s="10"/>
      <c r="AN13" s="12" t="s">
        <v>3646</v>
      </c>
      <c r="AO13" s="33" t="s">
        <v>100</v>
      </c>
      <c r="AP13" s="33" t="s">
        <v>717</v>
      </c>
      <c r="AQ13" s="12" t="s">
        <v>1195</v>
      </c>
      <c r="AR13" s="17">
        <v>154</v>
      </c>
      <c r="AS13" s="17">
        <v>4509154000011</v>
      </c>
      <c r="AT13" s="34" t="s">
        <v>3535</v>
      </c>
      <c r="AU13" s="20" t="s">
        <v>3647</v>
      </c>
      <c r="AV13" s="10" t="s">
        <v>88</v>
      </c>
      <c r="AW13" s="37" t="s">
        <v>3648</v>
      </c>
      <c r="AX13" s="10"/>
      <c r="AY13" s="37"/>
      <c r="AZ13" s="12" t="s">
        <v>3649</v>
      </c>
      <c r="BA13" s="12" t="s">
        <v>3538</v>
      </c>
      <c r="BB13" s="12" t="s">
        <v>431</v>
      </c>
      <c r="BC13" s="12">
        <v>2</v>
      </c>
      <c r="BD13" s="12">
        <v>30</v>
      </c>
      <c r="BE13" s="12">
        <v>32</v>
      </c>
      <c r="BF13" s="12" t="s">
        <v>3650</v>
      </c>
    </row>
    <row r="14" spans="1:58">
      <c r="A14" s="9" t="s">
        <v>3519</v>
      </c>
      <c r="B14" s="10"/>
      <c r="C14" s="11" t="s">
        <v>3651</v>
      </c>
      <c r="D14" s="10" t="s">
        <v>2025</v>
      </c>
      <c r="E14" s="10" t="s">
        <v>127</v>
      </c>
      <c r="F14" s="12" t="s">
        <v>88</v>
      </c>
      <c r="G14" s="13">
        <v>27569</v>
      </c>
      <c r="H14" s="12" t="s">
        <v>3652</v>
      </c>
      <c r="I14" s="20" t="s">
        <v>3653</v>
      </c>
      <c r="J14" s="21" t="s">
        <v>3524</v>
      </c>
      <c r="K14" s="20" t="s">
        <v>3654</v>
      </c>
      <c r="L14" s="20" t="s">
        <v>3654</v>
      </c>
      <c r="M14" s="22" t="s">
        <v>83</v>
      </c>
      <c r="N14" s="10" t="s">
        <v>112</v>
      </c>
      <c r="O14" s="12" t="s">
        <v>3655</v>
      </c>
      <c r="P14" s="10">
        <v>16</v>
      </c>
      <c r="Q14" s="10">
        <v>8</v>
      </c>
      <c r="R14" s="10"/>
      <c r="S14" s="27" t="s">
        <v>3510</v>
      </c>
      <c r="T14" s="27" t="s">
        <v>3511</v>
      </c>
      <c r="U14" s="27" t="s">
        <v>11</v>
      </c>
      <c r="V14" s="27" t="s">
        <v>3512</v>
      </c>
      <c r="W14" s="10">
        <v>77311</v>
      </c>
      <c r="X14" s="10"/>
      <c r="Y14" s="10" t="s">
        <v>3656</v>
      </c>
      <c r="Z14" s="30" t="s">
        <v>3657</v>
      </c>
      <c r="AA14" s="12" t="s">
        <v>3658</v>
      </c>
      <c r="AB14" s="31">
        <v>39384</v>
      </c>
      <c r="AC14" s="12" t="s">
        <v>3658</v>
      </c>
      <c r="AD14" s="29">
        <v>39083</v>
      </c>
      <c r="AE14" s="10" t="s">
        <v>309</v>
      </c>
      <c r="AF14" s="12" t="s">
        <v>3530</v>
      </c>
      <c r="AG14" s="12" t="s">
        <v>3659</v>
      </c>
      <c r="AH14" s="10" t="s">
        <v>95</v>
      </c>
      <c r="AI14" s="12" t="s">
        <v>3660</v>
      </c>
      <c r="AJ14" s="684" t="s">
        <v>3661</v>
      </c>
      <c r="AK14" s="10" t="s">
        <v>98</v>
      </c>
      <c r="AL14" s="31">
        <v>39783</v>
      </c>
      <c r="AM14" s="10"/>
      <c r="AN14" s="12" t="s">
        <v>3662</v>
      </c>
      <c r="AO14" s="33" t="s">
        <v>100</v>
      </c>
      <c r="AP14" s="33" t="s">
        <v>101</v>
      </c>
      <c r="AQ14" s="12" t="s">
        <v>606</v>
      </c>
      <c r="AR14" s="17">
        <v>127</v>
      </c>
      <c r="AS14" s="17">
        <v>2111412700540</v>
      </c>
      <c r="AT14" s="34" t="s">
        <v>3535</v>
      </c>
      <c r="AU14" s="20" t="s">
        <v>3663</v>
      </c>
      <c r="AV14" s="10" t="s">
        <v>88</v>
      </c>
      <c r="AW14" s="37" t="s">
        <v>3664</v>
      </c>
      <c r="AX14" s="10"/>
      <c r="AY14" s="37"/>
      <c r="AZ14" s="12" t="s">
        <v>235</v>
      </c>
      <c r="BA14" s="12" t="s">
        <v>3538</v>
      </c>
      <c r="BB14" s="12" t="s">
        <v>3665</v>
      </c>
      <c r="BC14" s="12"/>
      <c r="BD14" s="12">
        <v>27</v>
      </c>
      <c r="BE14" s="12">
        <v>27</v>
      </c>
      <c r="BF14" s="12" t="s">
        <v>606</v>
      </c>
    </row>
    <row r="15" spans="1:58">
      <c r="A15" s="9" t="s">
        <v>3519</v>
      </c>
      <c r="B15" s="10" t="s">
        <v>3666</v>
      </c>
      <c r="C15" s="11" t="s">
        <v>3667</v>
      </c>
      <c r="D15" s="10" t="s">
        <v>3668</v>
      </c>
      <c r="E15" s="10" t="s">
        <v>127</v>
      </c>
      <c r="F15" s="12" t="s">
        <v>3669</v>
      </c>
      <c r="G15" s="688" t="s">
        <v>3670</v>
      </c>
      <c r="H15" s="12" t="s">
        <v>3671</v>
      </c>
      <c r="I15" s="20" t="s">
        <v>3672</v>
      </c>
      <c r="J15" s="21" t="s">
        <v>3524</v>
      </c>
      <c r="K15" s="20" t="s">
        <v>3673</v>
      </c>
      <c r="L15" s="20" t="s">
        <v>3673</v>
      </c>
      <c r="M15" s="22" t="s">
        <v>92</v>
      </c>
      <c r="N15" s="10" t="s">
        <v>112</v>
      </c>
      <c r="O15" s="12" t="s">
        <v>3674</v>
      </c>
      <c r="P15" s="10">
        <v>30</v>
      </c>
      <c r="Q15" s="10"/>
      <c r="R15" s="10"/>
      <c r="S15" s="27" t="s">
        <v>3510</v>
      </c>
      <c r="T15" s="27" t="s">
        <v>3511</v>
      </c>
      <c r="U15" s="27" t="s">
        <v>11</v>
      </c>
      <c r="V15" s="27" t="s">
        <v>3512</v>
      </c>
      <c r="W15" s="10">
        <v>77311</v>
      </c>
      <c r="X15" s="10"/>
      <c r="Y15" s="12" t="s">
        <v>3675</v>
      </c>
      <c r="Z15" s="32" t="s">
        <v>3676</v>
      </c>
      <c r="AA15" s="12" t="s">
        <v>3677</v>
      </c>
      <c r="AB15" s="31">
        <v>38808</v>
      </c>
      <c r="AC15" s="12" t="s">
        <v>3677</v>
      </c>
      <c r="AD15" s="31">
        <v>38808</v>
      </c>
      <c r="AE15" s="10" t="s">
        <v>2864</v>
      </c>
      <c r="AF15" s="12" t="s">
        <v>3530</v>
      </c>
      <c r="AG15" s="12" t="s">
        <v>3678</v>
      </c>
      <c r="AH15" s="10" t="s">
        <v>95</v>
      </c>
      <c r="AI15" s="12" t="s">
        <v>3679</v>
      </c>
      <c r="AJ15" s="12" t="s">
        <v>3680</v>
      </c>
      <c r="AK15" s="10" t="s">
        <v>98</v>
      </c>
      <c r="AL15" s="29">
        <v>39539</v>
      </c>
      <c r="AM15" s="10" t="s">
        <v>356</v>
      </c>
      <c r="AN15" s="12" t="s">
        <v>3681</v>
      </c>
      <c r="AO15" s="33" t="s">
        <v>100</v>
      </c>
      <c r="AP15" s="33" t="s">
        <v>3682</v>
      </c>
      <c r="AQ15" s="12" t="s">
        <v>3683</v>
      </c>
      <c r="AR15" s="10">
        <v>184</v>
      </c>
      <c r="AS15" s="576" t="s">
        <v>3684</v>
      </c>
      <c r="AT15" s="34" t="s">
        <v>3535</v>
      </c>
      <c r="AU15" s="20" t="s">
        <v>3685</v>
      </c>
      <c r="AV15" s="10" t="s">
        <v>88</v>
      </c>
      <c r="AW15" s="37" t="s">
        <v>3686</v>
      </c>
      <c r="AX15" s="10"/>
      <c r="AY15" s="37"/>
      <c r="AZ15" s="12" t="s">
        <v>92</v>
      </c>
      <c r="BA15" s="12" t="s">
        <v>3538</v>
      </c>
      <c r="BB15" s="12" t="s">
        <v>374</v>
      </c>
      <c r="BC15" s="12">
        <v>24</v>
      </c>
      <c r="BD15" s="12">
        <v>6</v>
      </c>
      <c r="BE15" s="12">
        <v>30</v>
      </c>
      <c r="BF15" s="10" t="s">
        <v>374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Petunjuk</vt:lpstr>
      <vt:lpstr>Data per 31 Desember 2017</vt:lpstr>
      <vt:lpstr>Data Usulan 2018</vt:lpstr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C18E1625DFF64B4D8CAB3ADA793CC9F4_13</vt:lpwstr>
  </property>
  <property fmtid="{D5CDD505-2E9C-101B-9397-08002B2CF9AE}" pid="3" name="KSOProductBuildVer">
    <vt:lpwstr>2057-12.2.0.23131</vt:lpwstr>
  </property>
</Properties>
</file>